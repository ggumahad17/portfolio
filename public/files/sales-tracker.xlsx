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geral\Downloads\"/>
    </mc:Choice>
  </mc:AlternateContent>
  <xr:revisionPtr revIDLastSave="0" documentId="13_ncr:1_{5E16EA3C-375E-404D-AA47-901F43F3C6D1}" xr6:coauthVersionLast="47" xr6:coauthVersionMax="47" xr10:uidLastSave="{00000000-0000-0000-0000-000000000000}"/>
  <bookViews>
    <workbookView xWindow="-108" yWindow="-108" windowWidth="23256" windowHeight="12456" xr2:uid="{00000000-000D-0000-FFFF-FFFF00000000}"/>
  </bookViews>
  <sheets>
    <sheet name="Manufacturing country" sheetId="2" r:id="rId1"/>
    <sheet name="Combined_Data" sheetId="4" r:id="rId2"/>
    <sheet name="Pivot_Table" sheetId="7" r:id="rId3"/>
    <sheet name="Dashboard" sheetId="8" r:id="rId4"/>
  </sheets>
  <definedNames>
    <definedName name="Slicer_Color_Clean">#N/A</definedName>
    <definedName name="Slicer_Company">#N/A</definedName>
    <definedName name="Slicer_Country">#N/A</definedName>
    <definedName name="Slicer_Owner_Or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bfJwFvW11BX8HDuYzJqcyVjiqtVydDDhDtKzHBEOMuo="/>
    </ext>
  </extLst>
</workbook>
</file>

<file path=xl/calcChain.xml><?xml version="1.0" encoding="utf-8"?>
<calcChain xmlns="http://schemas.openxmlformats.org/spreadsheetml/2006/main">
  <c r="L2" i="4" l="1"/>
  <c r="L3" i="4"/>
  <c r="L4" i="4"/>
  <c r="L5" i="4"/>
  <c r="L6" i="4"/>
  <c r="L7" i="4"/>
  <c r="L8" i="4"/>
  <c r="L9" i="4"/>
  <c r="L10" i="4"/>
  <c r="L11" i="4"/>
  <c r="L12" i="4"/>
  <c r="L13" i="4"/>
  <c r="L14" i="4"/>
  <c r="L15" i="4"/>
  <c r="L16" i="4"/>
  <c r="L17" i="4"/>
  <c r="L18" i="4"/>
  <c r="L19" i="4"/>
  <c r="B38" i="7"/>
  <c r="K2" i="4"/>
  <c r="K3" i="4"/>
  <c r="K4" i="4"/>
  <c r="K5" i="4"/>
  <c r="K6" i="4"/>
  <c r="K7" i="4"/>
  <c r="K8" i="4"/>
  <c r="K9" i="4"/>
  <c r="K10" i="4"/>
  <c r="K11" i="4"/>
  <c r="K12" i="4"/>
  <c r="K13" i="4"/>
  <c r="K14" i="4"/>
  <c r="K15" i="4"/>
  <c r="K16" i="4"/>
  <c r="K17" i="4"/>
  <c r="K18" i="4"/>
  <c r="K19" i="4"/>
  <c r="J3" i="4"/>
  <c r="J4" i="4"/>
  <c r="J5" i="4"/>
  <c r="J6" i="4"/>
  <c r="J7" i="4"/>
  <c r="J8" i="4"/>
  <c r="J9" i="4"/>
  <c r="J10" i="4"/>
  <c r="J11" i="4"/>
  <c r="J12" i="4"/>
  <c r="J13" i="4"/>
  <c r="J14" i="4"/>
  <c r="J15" i="4"/>
  <c r="J16" i="4"/>
  <c r="J17" i="4"/>
  <c r="J18" i="4"/>
  <c r="J19" i="4"/>
  <c r="J2" i="4"/>
  <c r="I14" i="4"/>
  <c r="I15" i="4"/>
  <c r="I16" i="4"/>
  <c r="I17" i="4"/>
  <c r="I18" i="4"/>
  <c r="I19" i="4"/>
  <c r="I2" i="4"/>
  <c r="H3" i="4"/>
  <c r="I3" i="4" s="1"/>
  <c r="H4" i="4"/>
  <c r="I4" i="4" s="1"/>
  <c r="H5" i="4"/>
  <c r="I5" i="4" s="1"/>
  <c r="H6" i="4"/>
  <c r="I6" i="4" s="1"/>
  <c r="H7" i="4"/>
  <c r="I7" i="4" s="1"/>
  <c r="H8" i="4"/>
  <c r="I8" i="4" s="1"/>
  <c r="H9" i="4"/>
  <c r="I9" i="4" s="1"/>
  <c r="H10" i="4"/>
  <c r="I10" i="4" s="1"/>
  <c r="H11" i="4"/>
  <c r="I11" i="4" s="1"/>
  <c r="H12" i="4"/>
  <c r="I12" i="4" s="1"/>
  <c r="H13" i="4"/>
  <c r="I13" i="4" s="1"/>
  <c r="H14" i="4"/>
  <c r="H15" i="4"/>
  <c r="H16" i="4"/>
  <c r="H17" i="4"/>
  <c r="H18" i="4"/>
  <c r="H19" i="4"/>
  <c r="H2" i="4"/>
</calcChain>
</file>

<file path=xl/sharedStrings.xml><?xml version="1.0" encoding="utf-8"?>
<sst xmlns="http://schemas.openxmlformats.org/spreadsheetml/2006/main" count="155" uniqueCount="79">
  <si>
    <t>Car</t>
  </si>
  <si>
    <t>Year</t>
  </si>
  <si>
    <t>KM Driven</t>
  </si>
  <si>
    <t>Color</t>
  </si>
  <si>
    <t>Transimission</t>
  </si>
  <si>
    <t>Owner</t>
  </si>
  <si>
    <t>Price (USD)</t>
  </si>
  <si>
    <t>BMW X5</t>
  </si>
  <si>
    <t>White</t>
  </si>
  <si>
    <t>Automatic</t>
  </si>
  <si>
    <t>1st owner</t>
  </si>
  <si>
    <t>$15400</t>
  </si>
  <si>
    <t>Audi A3</t>
  </si>
  <si>
    <t>Red</t>
  </si>
  <si>
    <t>Manual</t>
  </si>
  <si>
    <t>2nd owner</t>
  </si>
  <si>
    <t>$24321</t>
  </si>
  <si>
    <t>Mercedes S-Class</t>
  </si>
  <si>
    <t>Black</t>
  </si>
  <si>
    <t>3rd owner</t>
  </si>
  <si>
    <t>$102342</t>
  </si>
  <si>
    <t>$55272</t>
  </si>
  <si>
    <t>BMW X3</t>
  </si>
  <si>
    <t>$42000</t>
  </si>
  <si>
    <t>Lexus RX350</t>
  </si>
  <si>
    <t>$51292</t>
  </si>
  <si>
    <t>Blue</t>
  </si>
  <si>
    <t>$37605</t>
  </si>
  <si>
    <t xml:space="preserve">Blue </t>
  </si>
  <si>
    <t>$45000</t>
  </si>
  <si>
    <t>BMW 3 Series</t>
  </si>
  <si>
    <t>$13241</t>
  </si>
  <si>
    <t>$49344</t>
  </si>
  <si>
    <t>Tesla Model 3</t>
  </si>
  <si>
    <t>Yellow</t>
  </si>
  <si>
    <t>$52432</t>
  </si>
  <si>
    <t>Volvo XC90</t>
  </si>
  <si>
    <t xml:space="preserve"> Black</t>
  </si>
  <si>
    <t>$17452</t>
  </si>
  <si>
    <t>Audi Q7</t>
  </si>
  <si>
    <t>$23250</t>
  </si>
  <si>
    <t>Cadillac XT5</t>
  </si>
  <si>
    <t>$32420</t>
  </si>
  <si>
    <t>Jaguar XF</t>
  </si>
  <si>
    <t>$18454</t>
  </si>
  <si>
    <t>$41000</t>
  </si>
  <si>
    <t>BMW 428i</t>
  </si>
  <si>
    <t>$35240</t>
  </si>
  <si>
    <t>4th owner</t>
  </si>
  <si>
    <t>$22520</t>
  </si>
  <si>
    <t>Company</t>
  </si>
  <si>
    <t>Country</t>
  </si>
  <si>
    <t>BMW</t>
  </si>
  <si>
    <t>Germany</t>
  </si>
  <si>
    <t>Audi</t>
  </si>
  <si>
    <t>Tesla</t>
  </si>
  <si>
    <t>USA</t>
  </si>
  <si>
    <t>Jaguar</t>
  </si>
  <si>
    <t>UK</t>
  </si>
  <si>
    <t>Mercedes</t>
  </si>
  <si>
    <t>Volvo</t>
  </si>
  <si>
    <t>Sweden</t>
  </si>
  <si>
    <t>Cadillac</t>
  </si>
  <si>
    <t>Lexus</t>
  </si>
  <si>
    <t>Japan</t>
  </si>
  <si>
    <t>Price_Clean</t>
  </si>
  <si>
    <t>Owner_Order</t>
  </si>
  <si>
    <t>Row Labels</t>
  </si>
  <si>
    <t>Grand Total</t>
  </si>
  <si>
    <t>Count of Company</t>
  </si>
  <si>
    <t>Count of Country</t>
  </si>
  <si>
    <t>1</t>
  </si>
  <si>
    <t>2</t>
  </si>
  <si>
    <t>3</t>
  </si>
  <si>
    <t>4</t>
  </si>
  <si>
    <t>Average of Price_Clean</t>
  </si>
  <si>
    <t>Average Price</t>
  </si>
  <si>
    <t>Color_Clean</t>
  </si>
  <si>
    <t>Count of Color_Clean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</si>
</sst>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5C]#,##0.00"/>
  </numFmts>
  <fonts count="7" x14ac:knownFonts="1">
    <font>
      <sz val="11"/>
      <color theme="1"/>
      <name val="Calibri"/>
      <scheme val="minor"/>
    </font>
    <font>
      <b/>
      <sz val="10"/>
      <color theme="1"/>
      <name val="Arial"/>
    </font>
    <font>
      <sz val="10"/>
      <color theme="1"/>
      <name val="Arial"/>
    </font>
    <font>
      <b/>
      <sz val="11"/>
      <color theme="1"/>
      <name val="Calibri"/>
    </font>
    <font>
      <sz val="11"/>
      <color theme="1"/>
      <name val="Calibri"/>
      <scheme val="minor"/>
    </font>
    <font>
      <b/>
      <sz val="10"/>
      <color theme="1"/>
      <name val="Arial"/>
      <family val="2"/>
    </font>
    <font>
      <b/>
      <sz val="11"/>
      <color theme="1"/>
      <name val="Calibri"/>
      <family val="2"/>
      <scheme val="minor"/>
    </font>
  </fonts>
  <fills count="3">
    <fill>
      <patternFill patternType="none"/>
    </fill>
    <fill>
      <patternFill patternType="gray125"/>
    </fill>
    <fill>
      <patternFill patternType="solid">
        <fgColor rgb="FF0F161A"/>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64" fontId="0" fillId="0" borderId="0" xfId="0" applyNumberFormat="1"/>
    <xf numFmtId="0" fontId="5" fillId="0" borderId="0" xfId="0" applyFont="1"/>
    <xf numFmtId="164" fontId="5" fillId="0" borderId="0" xfId="0" applyNumberFormat="1" applyFont="1"/>
    <xf numFmtId="0" fontId="0" fillId="0" borderId="0" xfId="0" pivotButton="1"/>
    <xf numFmtId="0" fontId="0" fillId="0" borderId="0" xfId="0" applyAlignment="1">
      <alignment horizontal="left"/>
    </xf>
    <xf numFmtId="0" fontId="0" fillId="2" borderId="0" xfId="0" applyFill="1"/>
    <xf numFmtId="0" fontId="6" fillId="0" borderId="0" xfId="0" applyFont="1" applyAlignment="1">
      <alignment horizontal="left"/>
    </xf>
    <xf numFmtId="164" fontId="6" fillId="0" borderId="0" xfId="0" applyNumberFormat="1" applyFont="1"/>
    <xf numFmtId="0" fontId="6" fillId="0" borderId="0" xfId="0" applyFont="1"/>
  </cellXfs>
  <cellStyles count="1">
    <cellStyle name="Normal" xfId="0" builtinId="0"/>
  </cellStyles>
  <dxfs count="10">
    <dxf>
      <numFmt numFmtId="0" formatCode="General"/>
    </dxf>
    <dxf>
      <numFmt numFmtId="164" formatCode="[$$-45C]#,##0.00"/>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i val="0"/>
        <strike val="0"/>
        <condense val="0"/>
        <extend val="0"/>
        <outline val="0"/>
        <shadow val="0"/>
        <u val="none"/>
        <vertAlign val="baseline"/>
        <sz val="10"/>
        <color theme="1"/>
        <name val="Arial"/>
        <family val="2"/>
        <scheme val="none"/>
      </font>
    </dxf>
  </dxfs>
  <tableStyles count="1" defaultTableStyle="TableStyleMedium2" defaultPivotStyle="PivotStyleLight16">
    <tableStyle name="Invisible" pivot="0" table="0" count="0" xr9:uid="{875EED94-560C-4170-8825-443F94B6FE0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customschemas.google.com/relationships/workbookmetadata" Target="metadata"/><Relationship Id="rId5" Type="http://schemas.openxmlformats.org/officeDocument/2006/relationships/pivotCacheDefinition" Target="pivotCache/pivotCacheDefinition1.xml"/><Relationship Id="rId15"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[sales-tracker.xlsx]Pivot_Table!PivotTable1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Pivot_Table!$A$4:$A$12</c:f>
              <c:strCache>
                <c:ptCount val="8"/>
                <c:pt idx="0">
                  <c:v>BMW</c:v>
                </c:pt>
                <c:pt idx="1">
                  <c:v>Lexus</c:v>
                </c:pt>
                <c:pt idx="2">
                  <c:v>Mercedes</c:v>
                </c:pt>
                <c:pt idx="3">
                  <c:v>Audi</c:v>
                </c:pt>
                <c:pt idx="4">
                  <c:v>Cadillac</c:v>
                </c:pt>
                <c:pt idx="5">
                  <c:v>Tesla</c:v>
                </c:pt>
                <c:pt idx="6">
                  <c:v>Volvo</c:v>
                </c:pt>
                <c:pt idx="7">
                  <c:v>Jaguar</c:v>
                </c:pt>
              </c:strCache>
            </c:strRef>
          </c:cat>
          <c:val>
            <c:numRef>
              <c:f>Pivot_Table!$B$4:$B$12</c:f>
              <c:numCache>
                <c:formatCode>General</c:formatCode>
                <c:ptCount val="8"/>
                <c:pt idx="0">
                  <c:v>7</c:v>
                </c:pt>
                <c:pt idx="1">
                  <c:v>3</c:v>
                </c:pt>
                <c:pt idx="2">
                  <c:v>2</c:v>
                </c:pt>
                <c:pt idx="3">
                  <c:v>2</c:v>
                </c:pt>
                <c:pt idx="4">
                  <c:v>1</c:v>
                </c:pt>
                <c:pt idx="5">
                  <c:v>1</c:v>
                </c:pt>
                <c:pt idx="6">
                  <c:v>1</c:v>
                </c:pt>
                <c:pt idx="7">
                  <c:v>1</c:v>
                </c:pt>
              </c:numCache>
            </c:numRef>
          </c:val>
          <c:extLst>
            <c:ext xmlns:c16="http://schemas.microsoft.com/office/drawing/2014/chart" uri="{C3380CC4-5D6E-409C-BE32-E72D297353CC}">
              <c16:uniqueId val="{00000000-4F41-4052-B4D6-9456D791F003}"/>
            </c:ext>
          </c:extLst>
        </c:ser>
        <c:dLbls>
          <c:showLegendKey val="0"/>
          <c:showVal val="0"/>
          <c:showCatName val="0"/>
          <c:showSerName val="0"/>
          <c:showPercent val="0"/>
          <c:showBubbleSize val="0"/>
        </c:dLbls>
        <c:gapWidth val="182"/>
        <c:axId val="396925695"/>
        <c:axId val="1049435776"/>
      </c:barChart>
      <c:catAx>
        <c:axId val="396925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35776"/>
        <c:crosses val="autoZero"/>
        <c:auto val="1"/>
        <c:lblAlgn val="ctr"/>
        <c:lblOffset val="100"/>
        <c:noMultiLvlLbl val="0"/>
      </c:catAx>
      <c:valAx>
        <c:axId val="1049435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92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[sales-tracker.xlsx]Pivot_Table!PivotTable2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Pivot_Table!$B$14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61-4115-8CC1-5EC319C4FC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61-4115-8CC1-5EC319C4FC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61-4115-8CC1-5EC319C4FC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61-4115-8CC1-5EC319C4FC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61-4115-8CC1-5EC319C4FCE8}"/>
              </c:ext>
            </c:extLst>
          </c:dPt>
          <c:cat>
            <c:strRef>
              <c:f>Pivot_Table!$A$15:$A$20</c:f>
              <c:strCache>
                <c:ptCount val="5"/>
                <c:pt idx="0">
                  <c:v>Germany</c:v>
                </c:pt>
                <c:pt idx="1">
                  <c:v>Japan</c:v>
                </c:pt>
                <c:pt idx="2">
                  <c:v>USA</c:v>
                </c:pt>
                <c:pt idx="3">
                  <c:v>UK</c:v>
                </c:pt>
                <c:pt idx="4">
                  <c:v>Sweden</c:v>
                </c:pt>
              </c:strCache>
            </c:strRef>
          </c:cat>
          <c:val>
            <c:numRef>
              <c:f>Pivot_Table!$B$15:$B$20</c:f>
              <c:numCache>
                <c:formatCode>General</c:formatCode>
                <c:ptCount val="5"/>
                <c:pt idx="0">
                  <c:v>11</c:v>
                </c:pt>
                <c:pt idx="1">
                  <c:v>3</c:v>
                </c:pt>
                <c:pt idx="2">
                  <c:v>2</c:v>
                </c:pt>
                <c:pt idx="3">
                  <c:v>1</c:v>
                </c:pt>
                <c:pt idx="4">
                  <c:v>1</c:v>
                </c:pt>
              </c:numCache>
            </c:numRef>
          </c:val>
          <c:extLst>
            <c:ext xmlns:c16="http://schemas.microsoft.com/office/drawing/2014/chart" uri="{C3380CC4-5D6E-409C-BE32-E72D297353CC}">
              <c16:uniqueId val="{00000000-A53A-428F-8330-80D37CF13D2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[sales-tracker.xlsx]Pivot_Table!PivotTable3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c:f>
              <c:strCache>
                <c:ptCount val="1"/>
                <c:pt idx="0">
                  <c:v>Total</c:v>
                </c:pt>
              </c:strCache>
            </c:strRef>
          </c:tx>
          <c:spPr>
            <a:solidFill>
              <a:schemeClr val="accent1"/>
            </a:solidFill>
            <a:ln>
              <a:noFill/>
            </a:ln>
            <a:effectLst/>
          </c:spPr>
          <c:invertIfNegative val="0"/>
          <c:cat>
            <c:strRef>
              <c:f>Pivot_Table!$A$23:$A$28</c:f>
              <c:strCache>
                <c:ptCount val="5"/>
                <c:pt idx="0">
                  <c:v>Yellow</c:v>
                </c:pt>
                <c:pt idx="1">
                  <c:v>Blue</c:v>
                </c:pt>
                <c:pt idx="2">
                  <c:v>Red</c:v>
                </c:pt>
                <c:pt idx="3">
                  <c:v>Black</c:v>
                </c:pt>
                <c:pt idx="4">
                  <c:v>White</c:v>
                </c:pt>
              </c:strCache>
            </c:strRef>
          </c:cat>
          <c:val>
            <c:numRef>
              <c:f>Pivot_Table!$B$23:$B$28</c:f>
              <c:numCache>
                <c:formatCode>General</c:formatCode>
                <c:ptCount val="5"/>
                <c:pt idx="0">
                  <c:v>1</c:v>
                </c:pt>
                <c:pt idx="1">
                  <c:v>3</c:v>
                </c:pt>
                <c:pt idx="2">
                  <c:v>4</c:v>
                </c:pt>
                <c:pt idx="3">
                  <c:v>4</c:v>
                </c:pt>
                <c:pt idx="4">
                  <c:v>6</c:v>
                </c:pt>
              </c:numCache>
            </c:numRef>
          </c:val>
          <c:extLst>
            <c:ext xmlns:c16="http://schemas.microsoft.com/office/drawing/2014/chart" uri="{C3380CC4-5D6E-409C-BE32-E72D297353CC}">
              <c16:uniqueId val="{00000000-65C2-486F-9F21-B81EBD967DE8}"/>
            </c:ext>
          </c:extLst>
        </c:ser>
        <c:dLbls>
          <c:showLegendKey val="0"/>
          <c:showVal val="0"/>
          <c:showCatName val="0"/>
          <c:showSerName val="0"/>
          <c:showPercent val="0"/>
          <c:showBubbleSize val="0"/>
        </c:dLbls>
        <c:gapWidth val="219"/>
        <c:overlap val="-27"/>
        <c:axId val="1270848240"/>
        <c:axId val="1270846320"/>
      </c:barChart>
      <c:catAx>
        <c:axId val="127084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46320"/>
        <c:crosses val="autoZero"/>
        <c:auto val="1"/>
        <c:lblAlgn val="ctr"/>
        <c:lblOffset val="100"/>
        <c:noMultiLvlLbl val="0"/>
      </c:catAx>
      <c:valAx>
        <c:axId val="127084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4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[sales-tracker.xlsx]Pivot_Table!PivotTable4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Pivot_Table!$B$32</c:f>
              <c:strCache>
                <c:ptCount val="1"/>
                <c:pt idx="0">
                  <c:v>Total</c:v>
                </c:pt>
              </c:strCache>
            </c:strRef>
          </c:tx>
          <c:spPr>
            <a:solidFill>
              <a:schemeClr val="accent1"/>
            </a:solidFill>
            <a:ln>
              <a:noFill/>
            </a:ln>
            <a:effectLst/>
          </c:spPr>
          <c:invertIfNegative val="0"/>
          <c:cat>
            <c:strRef>
              <c:f>Pivot_Table!$A$33:$A$37</c:f>
              <c:strCache>
                <c:ptCount val="4"/>
                <c:pt idx="0">
                  <c:v>1</c:v>
                </c:pt>
                <c:pt idx="1">
                  <c:v>2</c:v>
                </c:pt>
                <c:pt idx="2">
                  <c:v>3</c:v>
                </c:pt>
                <c:pt idx="3">
                  <c:v>4</c:v>
                </c:pt>
              </c:strCache>
            </c:strRef>
          </c:cat>
          <c:val>
            <c:numRef>
              <c:f>Pivot_Table!$B$33:$B$37</c:f>
              <c:numCache>
                <c:formatCode>[$$-45C]#,##0.00</c:formatCode>
                <c:ptCount val="4"/>
                <c:pt idx="0">
                  <c:v>36513.666666666664</c:v>
                </c:pt>
                <c:pt idx="1">
                  <c:v>30718</c:v>
                </c:pt>
                <c:pt idx="2">
                  <c:v>63746.333333333336</c:v>
                </c:pt>
                <c:pt idx="3">
                  <c:v>22520</c:v>
                </c:pt>
              </c:numCache>
            </c:numRef>
          </c:val>
          <c:extLst>
            <c:ext xmlns:c16="http://schemas.microsoft.com/office/drawing/2014/chart" uri="{C3380CC4-5D6E-409C-BE32-E72D297353CC}">
              <c16:uniqueId val="{00000000-C55F-4137-B83D-665749ABECF7}"/>
            </c:ext>
          </c:extLst>
        </c:ser>
        <c:dLbls>
          <c:showLegendKey val="0"/>
          <c:showVal val="0"/>
          <c:showCatName val="0"/>
          <c:showSerName val="0"/>
          <c:showPercent val="0"/>
          <c:showBubbleSize val="0"/>
        </c:dLbls>
        <c:gapWidth val="219"/>
        <c:overlap val="-27"/>
        <c:axId val="408293183"/>
        <c:axId val="408292703"/>
      </c:barChart>
      <c:catAx>
        <c:axId val="4082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292703"/>
        <c:crosses val="autoZero"/>
        <c:auto val="1"/>
        <c:lblAlgn val="ctr"/>
        <c:lblOffset val="100"/>
        <c:noMultiLvlLbl val="0"/>
      </c:catAx>
      <c:valAx>
        <c:axId val="408292703"/>
        <c:scaling>
          <c:orientation val="minMax"/>
        </c:scaling>
        <c:delete val="0"/>
        <c:axPos val="l"/>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29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[sales-tracker.xlsx]Pivot_Table!PivotTable1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Pivot_Table!$A$4:$A$12</c:f>
              <c:strCache>
                <c:ptCount val="8"/>
                <c:pt idx="0">
                  <c:v>BMW</c:v>
                </c:pt>
                <c:pt idx="1">
                  <c:v>Lexus</c:v>
                </c:pt>
                <c:pt idx="2">
                  <c:v>Mercedes</c:v>
                </c:pt>
                <c:pt idx="3">
                  <c:v>Audi</c:v>
                </c:pt>
                <c:pt idx="4">
                  <c:v>Cadillac</c:v>
                </c:pt>
                <c:pt idx="5">
                  <c:v>Tesla</c:v>
                </c:pt>
                <c:pt idx="6">
                  <c:v>Volvo</c:v>
                </c:pt>
                <c:pt idx="7">
                  <c:v>Jaguar</c:v>
                </c:pt>
              </c:strCache>
            </c:strRef>
          </c:cat>
          <c:val>
            <c:numRef>
              <c:f>Pivot_Table!$B$4:$B$12</c:f>
              <c:numCache>
                <c:formatCode>General</c:formatCode>
                <c:ptCount val="8"/>
                <c:pt idx="0">
                  <c:v>7</c:v>
                </c:pt>
                <c:pt idx="1">
                  <c:v>3</c:v>
                </c:pt>
                <c:pt idx="2">
                  <c:v>2</c:v>
                </c:pt>
                <c:pt idx="3">
                  <c:v>2</c:v>
                </c:pt>
                <c:pt idx="4">
                  <c:v>1</c:v>
                </c:pt>
                <c:pt idx="5">
                  <c:v>1</c:v>
                </c:pt>
                <c:pt idx="6">
                  <c:v>1</c:v>
                </c:pt>
                <c:pt idx="7">
                  <c:v>1</c:v>
                </c:pt>
              </c:numCache>
            </c:numRef>
          </c:val>
          <c:extLst>
            <c:ext xmlns:c16="http://schemas.microsoft.com/office/drawing/2014/chart" uri="{C3380CC4-5D6E-409C-BE32-E72D297353CC}">
              <c16:uniqueId val="{00000000-132C-4B5F-A340-D0E1301ABCF2}"/>
            </c:ext>
          </c:extLst>
        </c:ser>
        <c:dLbls>
          <c:showLegendKey val="0"/>
          <c:showVal val="0"/>
          <c:showCatName val="0"/>
          <c:showSerName val="0"/>
          <c:showPercent val="0"/>
          <c:showBubbleSize val="0"/>
        </c:dLbls>
        <c:gapWidth val="182"/>
        <c:axId val="396925695"/>
        <c:axId val="1049435776"/>
      </c:barChart>
      <c:catAx>
        <c:axId val="396925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049435776"/>
        <c:crosses val="autoZero"/>
        <c:auto val="1"/>
        <c:lblAlgn val="ctr"/>
        <c:lblOffset val="100"/>
        <c:noMultiLvlLbl val="0"/>
      </c:catAx>
      <c:valAx>
        <c:axId val="1049435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39692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[sales-tracker.xlsx]Pivot_Table!PivotTable2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Pivot_Table!$B$14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88-47EE-9CEE-5FC5D04F6E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88-47EE-9CEE-5FC5D04F6E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88-47EE-9CEE-5FC5D04F6E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88-47EE-9CEE-5FC5D04F6E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88-47EE-9CEE-5FC5D04F6EB8}"/>
              </c:ext>
            </c:extLst>
          </c:dPt>
          <c:cat>
            <c:strRef>
              <c:f>Pivot_Table!$A$15:$A$20</c:f>
              <c:strCache>
                <c:ptCount val="5"/>
                <c:pt idx="0">
                  <c:v>Germany</c:v>
                </c:pt>
                <c:pt idx="1">
                  <c:v>Japan</c:v>
                </c:pt>
                <c:pt idx="2">
                  <c:v>USA</c:v>
                </c:pt>
                <c:pt idx="3">
                  <c:v>UK</c:v>
                </c:pt>
                <c:pt idx="4">
                  <c:v>Sweden</c:v>
                </c:pt>
              </c:strCache>
            </c:strRef>
          </c:cat>
          <c:val>
            <c:numRef>
              <c:f>Pivot_Table!$B$15:$B$20</c:f>
              <c:numCache>
                <c:formatCode>General</c:formatCode>
                <c:ptCount val="5"/>
                <c:pt idx="0">
                  <c:v>11</c:v>
                </c:pt>
                <c:pt idx="1">
                  <c:v>3</c:v>
                </c:pt>
                <c:pt idx="2">
                  <c:v>2</c:v>
                </c:pt>
                <c:pt idx="3">
                  <c:v>1</c:v>
                </c:pt>
                <c:pt idx="4">
                  <c:v>1</c:v>
                </c:pt>
              </c:numCache>
            </c:numRef>
          </c:val>
          <c:extLst>
            <c:ext xmlns:c16="http://schemas.microsoft.com/office/drawing/2014/chart" uri="{C3380CC4-5D6E-409C-BE32-E72D297353CC}">
              <c16:uniqueId val="{0000000A-9688-47EE-9CEE-5FC5D04F6EB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613484829027225"/>
          <c:y val="0.28814538012933383"/>
          <c:w val="0.20363983648620596"/>
          <c:h val="0.46015701516216284"/>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[sales-tracker.xlsx]Pivot_Table!PivotTable3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c:f>
              <c:strCache>
                <c:ptCount val="1"/>
                <c:pt idx="0">
                  <c:v>Total</c:v>
                </c:pt>
              </c:strCache>
            </c:strRef>
          </c:tx>
          <c:spPr>
            <a:solidFill>
              <a:schemeClr val="accent1"/>
            </a:solidFill>
            <a:ln>
              <a:noFill/>
            </a:ln>
            <a:effectLst/>
          </c:spPr>
          <c:invertIfNegative val="0"/>
          <c:cat>
            <c:strRef>
              <c:f>Pivot_Table!$A$23:$A$28</c:f>
              <c:strCache>
                <c:ptCount val="5"/>
                <c:pt idx="0">
                  <c:v>Yellow</c:v>
                </c:pt>
                <c:pt idx="1">
                  <c:v>Blue</c:v>
                </c:pt>
                <c:pt idx="2">
                  <c:v>Red</c:v>
                </c:pt>
                <c:pt idx="3">
                  <c:v>Black</c:v>
                </c:pt>
                <c:pt idx="4">
                  <c:v>White</c:v>
                </c:pt>
              </c:strCache>
            </c:strRef>
          </c:cat>
          <c:val>
            <c:numRef>
              <c:f>Pivot_Table!$B$23:$B$28</c:f>
              <c:numCache>
                <c:formatCode>General</c:formatCode>
                <c:ptCount val="5"/>
                <c:pt idx="0">
                  <c:v>1</c:v>
                </c:pt>
                <c:pt idx="1">
                  <c:v>3</c:v>
                </c:pt>
                <c:pt idx="2">
                  <c:v>4</c:v>
                </c:pt>
                <c:pt idx="3">
                  <c:v>4</c:v>
                </c:pt>
                <c:pt idx="4">
                  <c:v>6</c:v>
                </c:pt>
              </c:numCache>
            </c:numRef>
          </c:val>
          <c:extLst>
            <c:ext xmlns:c16="http://schemas.microsoft.com/office/drawing/2014/chart" uri="{C3380CC4-5D6E-409C-BE32-E72D297353CC}">
              <c16:uniqueId val="{00000000-81E2-4036-B5F1-63AED76D4F31}"/>
            </c:ext>
          </c:extLst>
        </c:ser>
        <c:dLbls>
          <c:showLegendKey val="0"/>
          <c:showVal val="0"/>
          <c:showCatName val="0"/>
          <c:showSerName val="0"/>
          <c:showPercent val="0"/>
          <c:showBubbleSize val="0"/>
        </c:dLbls>
        <c:gapWidth val="219"/>
        <c:overlap val="-27"/>
        <c:axId val="1270848240"/>
        <c:axId val="1270846320"/>
      </c:barChart>
      <c:catAx>
        <c:axId val="127084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270846320"/>
        <c:crosses val="autoZero"/>
        <c:auto val="1"/>
        <c:lblAlgn val="ctr"/>
        <c:lblOffset val="100"/>
        <c:noMultiLvlLbl val="0"/>
      </c:catAx>
      <c:valAx>
        <c:axId val="127084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27084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[sales-tracker.xlsx]Pivot_Table!PivotTable4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Pivot_Table!$B$32</c:f>
              <c:strCache>
                <c:ptCount val="1"/>
                <c:pt idx="0">
                  <c:v>Total</c:v>
                </c:pt>
              </c:strCache>
            </c:strRef>
          </c:tx>
          <c:spPr>
            <a:solidFill>
              <a:schemeClr val="accent1"/>
            </a:solidFill>
            <a:ln>
              <a:noFill/>
            </a:ln>
            <a:effectLst/>
          </c:spPr>
          <c:invertIfNegative val="0"/>
          <c:cat>
            <c:strRef>
              <c:f>Pivot_Table!$A$33:$A$37</c:f>
              <c:strCache>
                <c:ptCount val="4"/>
                <c:pt idx="0">
                  <c:v>1</c:v>
                </c:pt>
                <c:pt idx="1">
                  <c:v>2</c:v>
                </c:pt>
                <c:pt idx="2">
                  <c:v>3</c:v>
                </c:pt>
                <c:pt idx="3">
                  <c:v>4</c:v>
                </c:pt>
              </c:strCache>
            </c:strRef>
          </c:cat>
          <c:val>
            <c:numRef>
              <c:f>Pivot_Table!$B$33:$B$37</c:f>
              <c:numCache>
                <c:formatCode>[$$-45C]#,##0.00</c:formatCode>
                <c:ptCount val="4"/>
                <c:pt idx="0">
                  <c:v>36513.666666666664</c:v>
                </c:pt>
                <c:pt idx="1">
                  <c:v>30718</c:v>
                </c:pt>
                <c:pt idx="2">
                  <c:v>63746.333333333336</c:v>
                </c:pt>
                <c:pt idx="3">
                  <c:v>22520</c:v>
                </c:pt>
              </c:numCache>
            </c:numRef>
          </c:val>
          <c:extLst>
            <c:ext xmlns:c16="http://schemas.microsoft.com/office/drawing/2014/chart" uri="{C3380CC4-5D6E-409C-BE32-E72D297353CC}">
              <c16:uniqueId val="{00000000-C421-42A4-87AB-BAB153C24AF3}"/>
            </c:ext>
          </c:extLst>
        </c:ser>
        <c:dLbls>
          <c:showLegendKey val="0"/>
          <c:showVal val="0"/>
          <c:showCatName val="0"/>
          <c:showSerName val="0"/>
          <c:showPercent val="0"/>
          <c:showBubbleSize val="0"/>
        </c:dLbls>
        <c:gapWidth val="219"/>
        <c:overlap val="-27"/>
        <c:axId val="408293183"/>
        <c:axId val="408292703"/>
      </c:barChart>
      <c:catAx>
        <c:axId val="4082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408292703"/>
        <c:crosses val="autoZero"/>
        <c:auto val="1"/>
        <c:lblAlgn val="ctr"/>
        <c:lblOffset val="100"/>
        <c:noMultiLvlLbl val="0"/>
      </c:catAx>
      <c:valAx>
        <c:axId val="408292703"/>
        <c:scaling>
          <c:orientation val="minMax"/>
        </c:scaling>
        <c:delete val="0"/>
        <c:axPos val="l"/>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40829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228606</xdr:colOff>
      <xdr:row>1</xdr:row>
      <xdr:rowOff>57150</xdr:rowOff>
    </xdr:from>
    <xdr:to>
      <xdr:col>7</xdr:col>
      <xdr:colOff>220980</xdr:colOff>
      <xdr:row>11</xdr:row>
      <xdr:rowOff>76200</xdr:rowOff>
    </xdr:to>
    <xdr:graphicFrame macro="">
      <xdr:nvGraphicFramePr>
        <xdr:cNvPr id="2" name="Chart 1">
          <a:extLst>
            <a:ext uri="{FF2B5EF4-FFF2-40B4-BE49-F238E27FC236}">
              <a16:creationId xmlns:a16="http://schemas.microsoft.com/office/drawing/2014/main" id="{76E38518-FD59-F327-23C9-C28DB1446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723900</xdr:colOff>
      <xdr:row>11</xdr:row>
      <xdr:rowOff>118110</xdr:rowOff>
    </xdr:from>
    <xdr:to>
      <xdr:col>5</xdr:col>
      <xdr:colOff>365760</xdr:colOff>
      <xdr:row>20</xdr:row>
      <xdr:rowOff>152400</xdr:rowOff>
    </xdr:to>
    <xdr:graphicFrame macro="">
      <xdr:nvGraphicFramePr>
        <xdr:cNvPr id="3" name="Chart 2">
          <a:extLst>
            <a:ext uri="{FF2B5EF4-FFF2-40B4-BE49-F238E27FC236}">
              <a16:creationId xmlns:a16="http://schemas.microsoft.com/office/drawing/2014/main" id="{CC3A402A-993A-D021-DBF1-CAC1AB382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259080</xdr:colOff>
      <xdr:row>20</xdr:row>
      <xdr:rowOff>102870</xdr:rowOff>
    </xdr:from>
    <xdr:to>
      <xdr:col>8</xdr:col>
      <xdr:colOff>106680</xdr:colOff>
      <xdr:row>32</xdr:row>
      <xdr:rowOff>114300</xdr:rowOff>
    </xdr:to>
    <xdr:graphicFrame macro="">
      <xdr:nvGraphicFramePr>
        <xdr:cNvPr id="4" name="Chart 3">
          <a:extLst>
            <a:ext uri="{FF2B5EF4-FFF2-40B4-BE49-F238E27FC236}">
              <a16:creationId xmlns:a16="http://schemas.microsoft.com/office/drawing/2014/main" id="{BF9C12F1-B956-405F-BADB-FE353925C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205740</xdr:colOff>
      <xdr:row>33</xdr:row>
      <xdr:rowOff>144780</xdr:rowOff>
    </xdr:from>
    <xdr:to>
      <xdr:col>8</xdr:col>
      <xdr:colOff>121920</xdr:colOff>
      <xdr:row>42</xdr:row>
      <xdr:rowOff>121920</xdr:rowOff>
    </xdr:to>
    <xdr:graphicFrame macro="">
      <xdr:nvGraphicFramePr>
        <xdr:cNvPr id="5" name="Chart 4">
          <a:extLst>
            <a:ext uri="{FF2B5EF4-FFF2-40B4-BE49-F238E27FC236}">
              <a16:creationId xmlns:a16="http://schemas.microsoft.com/office/drawing/2014/main" id="{376F4C4B-F32F-228B-966E-6988F5B0A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251460</xdr:colOff>
      <xdr:row>18</xdr:row>
      <xdr:rowOff>83820</xdr:rowOff>
    </xdr:from>
    <xdr:to>
      <xdr:col>12</xdr:col>
      <xdr:colOff>251460</xdr:colOff>
      <xdr:row>31</xdr:row>
      <xdr:rowOff>173355</xdr:rowOff>
    </xdr:to>
    <mc:AlternateContent xmlns:mc="http://schemas.openxmlformats.org/markup-compatibility/2006" xmlns:a14="http://schemas.microsoft.com/office/drawing/2010/main">
      <mc:Choice Requires="a14">
        <xdr:graphicFrame macro="">
          <xdr:nvGraphicFramePr>
            <xdr:cNvPr id="10" name="Company">
              <a:extLst>
                <a:ext uri="{FF2B5EF4-FFF2-40B4-BE49-F238E27FC236}">
                  <a16:creationId xmlns:a16="http://schemas.microsoft.com/office/drawing/2014/main" id="{CC137434-BC7C-0554-92D3-2B8EB869BDD3}"/>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6911340" y="3375660"/>
              <a:ext cx="1828800" cy="24669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259080</xdr:colOff>
      <xdr:row>32</xdr:row>
      <xdr:rowOff>60960</xdr:rowOff>
    </xdr:from>
    <xdr:to>
      <xdr:col>12</xdr:col>
      <xdr:colOff>259080</xdr:colOff>
      <xdr:row>45</xdr:row>
      <xdr:rowOff>150495</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219DD36B-2E78-680E-24D6-7483CC42B51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918960" y="5913120"/>
              <a:ext cx="1828800" cy="24669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342900</xdr:colOff>
      <xdr:row>32</xdr:row>
      <xdr:rowOff>45720</xdr:rowOff>
    </xdr:from>
    <xdr:to>
      <xdr:col>15</xdr:col>
      <xdr:colOff>342900</xdr:colOff>
      <xdr:row>45</xdr:row>
      <xdr:rowOff>135255</xdr:rowOff>
    </xdr:to>
    <mc:AlternateContent xmlns:mc="http://schemas.openxmlformats.org/markup-compatibility/2006" xmlns:a14="http://schemas.microsoft.com/office/drawing/2010/main">
      <mc:Choice Requires="a14">
        <xdr:graphicFrame macro="">
          <xdr:nvGraphicFramePr>
            <xdr:cNvPr id="13" name="Owner_Order">
              <a:extLst>
                <a:ext uri="{FF2B5EF4-FFF2-40B4-BE49-F238E27FC236}">
                  <a16:creationId xmlns:a16="http://schemas.microsoft.com/office/drawing/2014/main" id="{C1D8B500-3B09-260E-E0CA-881AA2980604}"/>
                </a:ext>
              </a:extLst>
            </xdr:cNvPr>
            <xdr:cNvGraphicFramePr/>
          </xdr:nvGraphicFramePr>
          <xdr:xfrm>
            <a:off x="0" y="0"/>
            <a:ext cx="0" cy="0"/>
          </xdr:xfrm>
          <a:graphic>
            <a:graphicData uri="http://schemas.microsoft.com/office/drawing/2010/slicer">
              <sle:slicer xmlns:sle="http://schemas.microsoft.com/office/drawing/2010/slicer" name="Owner_Order"/>
            </a:graphicData>
          </a:graphic>
        </xdr:graphicFrame>
      </mc:Choice>
      <mc:Fallback xmlns="">
        <xdr:sp macro="" textlink="">
          <xdr:nvSpPr>
            <xdr:cNvPr id="0" name=""/>
            <xdr:cNvSpPr>
              <a:spLocks noTextEdit="1"/>
            </xdr:cNvSpPr>
          </xdr:nvSpPr>
          <xdr:spPr>
            <a:xfrm>
              <a:off x="8831580" y="5897880"/>
              <a:ext cx="1828800" cy="24669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342900</xdr:colOff>
      <xdr:row>18</xdr:row>
      <xdr:rowOff>76200</xdr:rowOff>
    </xdr:from>
    <xdr:to>
      <xdr:col>15</xdr:col>
      <xdr:colOff>342900</xdr:colOff>
      <xdr:row>31</xdr:row>
      <xdr:rowOff>165735</xdr:rowOff>
    </xdr:to>
    <mc:AlternateContent xmlns:mc="http://schemas.openxmlformats.org/markup-compatibility/2006" xmlns:a14="http://schemas.microsoft.com/office/drawing/2010/main">
      <mc:Choice Requires="a14">
        <xdr:graphicFrame macro="">
          <xdr:nvGraphicFramePr>
            <xdr:cNvPr id="6" name="Color_Clean">
              <a:extLst>
                <a:ext uri="{FF2B5EF4-FFF2-40B4-BE49-F238E27FC236}">
                  <a16:creationId xmlns:a16="http://schemas.microsoft.com/office/drawing/2014/main" id="{E63813DD-2B89-8D37-8F8F-0AB4966E7235}"/>
                </a:ext>
              </a:extLst>
            </xdr:cNvPr>
            <xdr:cNvGraphicFramePr/>
          </xdr:nvGraphicFramePr>
          <xdr:xfrm>
            <a:off x="0" y="0"/>
            <a:ext cx="0" cy="0"/>
          </xdr:xfrm>
          <a:graphic>
            <a:graphicData uri="http://schemas.microsoft.com/office/drawing/2010/slicer">
              <sle:slicer xmlns:sle="http://schemas.microsoft.com/office/drawing/2010/slicer" name="Color_Clean"/>
            </a:graphicData>
          </a:graphic>
        </xdr:graphicFrame>
      </mc:Choice>
      <mc:Fallback xmlns="">
        <xdr:sp macro="" textlink="">
          <xdr:nvSpPr>
            <xdr:cNvPr id="0" name=""/>
            <xdr:cNvSpPr>
              <a:spLocks noTextEdit="1"/>
            </xdr:cNvSpPr>
          </xdr:nvSpPr>
          <xdr:spPr>
            <a:xfrm>
              <a:off x="8991600" y="3368040"/>
              <a:ext cx="1828800" cy="24669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71580</xdr:rowOff>
    </xdr:from>
    <xdr:to>
      <xdr:col>41</xdr:col>
      <xdr:colOff>12338</xdr:colOff>
      <xdr:row>73</xdr:row>
      <xdr:rowOff>124691</xdr:rowOff>
    </xdr:to>
    <xdr:sp macro="" textlink="">
      <xdr:nvSpPr>
        <xdr:cNvPr id="2" name="Rectangle 1">
          <a:extLst>
            <a:ext uri="{FF2B5EF4-FFF2-40B4-BE49-F238E27FC236}">
              <a16:creationId xmlns:a16="http://schemas.microsoft.com/office/drawing/2014/main" id="{A3094508-D3AD-E03E-FE4C-0A68A260FD2F}"/>
            </a:ext>
          </a:extLst>
        </xdr:cNvPr>
        <xdr:cNvSpPr/>
      </xdr:nvSpPr>
      <xdr:spPr>
        <a:xfrm>
          <a:off x="0" y="71580"/>
          <a:ext cx="25005938" cy="13959611"/>
        </a:xfrm>
        <a:prstGeom prst="rect">
          <a:avLst/>
        </a:prstGeom>
        <a:solidFill>
          <a:srgbClr val="1E363E"/>
        </a:solidFill>
        <a:ln>
          <a:solidFill>
            <a:srgbClr val="1D373E"/>
          </a:solidFill>
        </a:ln>
        <a:effectLst>
          <a:outerShdw blurRad="63500" dist="37357" dir="2700000"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572651</xdr:colOff>
      <xdr:row>1</xdr:row>
      <xdr:rowOff>71120</xdr:rowOff>
    </xdr:from>
    <xdr:to>
      <xdr:col>40</xdr:col>
      <xdr:colOff>182880</xdr:colOff>
      <xdr:row>6</xdr:row>
      <xdr:rowOff>152400</xdr:rowOff>
    </xdr:to>
    <xdr:sp macro="" textlink="">
      <xdr:nvSpPr>
        <xdr:cNvPr id="3" name="Rectangle: Rounded Corners 2">
          <a:extLst>
            <a:ext uri="{FF2B5EF4-FFF2-40B4-BE49-F238E27FC236}">
              <a16:creationId xmlns:a16="http://schemas.microsoft.com/office/drawing/2014/main" id="{6FCB3642-850E-FBE9-EA35-C1494875EF03}"/>
            </a:ext>
          </a:extLst>
        </xdr:cNvPr>
        <xdr:cNvSpPr/>
      </xdr:nvSpPr>
      <xdr:spPr>
        <a:xfrm>
          <a:off x="572651" y="254000"/>
          <a:ext cx="23994229" cy="995680"/>
        </a:xfrm>
        <a:prstGeom prst="roundRect">
          <a:avLst/>
        </a:prstGeom>
        <a:gradFill flip="none" rotWithShape="1">
          <a:gsLst>
            <a:gs pos="0">
              <a:srgbClr val="268799"/>
            </a:gs>
            <a:gs pos="100000">
              <a:srgbClr val="146478"/>
            </a:gs>
          </a:gsLst>
          <a:lin ang="5400000" scaled="1"/>
          <a:tileRect/>
        </a:gradFill>
        <a:ln w="12700" cap="flat" cmpd="sng" algn="ctr">
          <a:noFill/>
          <a:prstDash val="solid"/>
          <a:miter lim="800000"/>
        </a:ln>
        <a:effectLst>
          <a:outerShdw blurRad="101600" dist="71842" dir="2700013" rotWithShape="0">
            <a:scrgbClr r="0" g="0" b="0"/>
          </a:outerShdw>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4000" b="1">
              <a:solidFill>
                <a:srgbClr val="FFFFFF"/>
              </a:solidFill>
            </a:rPr>
            <a:t>Car Sales Dashboard</a:t>
          </a:r>
        </a:p>
      </xdr:txBody>
    </xdr:sp>
    <xdr:clientData/>
  </xdr:twoCellAnchor>
  <xdr:twoCellAnchor>
    <xdr:from>
      <xdr:col>1</xdr:col>
      <xdr:colOff>106223</xdr:colOff>
      <xdr:row>18</xdr:row>
      <xdr:rowOff>137160</xdr:rowOff>
    </xdr:from>
    <xdr:to>
      <xdr:col>14</xdr:col>
      <xdr:colOff>436423</xdr:colOff>
      <xdr:row>44</xdr:row>
      <xdr:rowOff>130629</xdr:rowOff>
    </xdr:to>
    <xdr:sp macro="" textlink="">
      <xdr:nvSpPr>
        <xdr:cNvPr id="8" name="Rectangle: Rounded Corners 7">
          <a:extLst>
            <a:ext uri="{FF2B5EF4-FFF2-40B4-BE49-F238E27FC236}">
              <a16:creationId xmlns:a16="http://schemas.microsoft.com/office/drawing/2014/main" id="{E1FFEC75-7F42-320F-960A-3E856B18662D}"/>
            </a:ext>
          </a:extLst>
        </xdr:cNvPr>
        <xdr:cNvSpPr/>
      </xdr:nvSpPr>
      <xdr:spPr>
        <a:xfrm>
          <a:off x="715823" y="3468189"/>
          <a:ext cx="8255000" cy="4804954"/>
        </a:xfrm>
        <a:prstGeom prst="roundRect">
          <a:avLst>
            <a:gd name="adj" fmla="val 8000"/>
          </a:avLst>
        </a:prstGeom>
        <a:solidFill>
          <a:srgbClr val="1E363E"/>
        </a:solidFill>
        <a:ln w="19050">
          <a:solidFill>
            <a:srgbClr val="1D373E"/>
          </a:solidFill>
        </a:ln>
        <a:effectLst>
          <a:outerShdw blurRad="127000" dist="71842" dir="2700013" rotWithShape="0">
            <a:scrgbClr r="0" g="0" b="0">
              <a:alpha val="7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90500" tIns="152400" rtlCol="0" anchor="t"/>
        <a:lstStyle/>
        <a:p>
          <a:pPr algn="l"/>
          <a:r>
            <a:rPr lang="en-PH" sz="1800" b="1">
              <a:solidFill>
                <a:srgbClr val="FFFFFF"/>
              </a:solidFill>
            </a:rPr>
            <a:t>Average</a:t>
          </a:r>
          <a:r>
            <a:rPr lang="en-PH" sz="1800" b="1" baseline="0">
              <a:solidFill>
                <a:srgbClr val="FFFFFF"/>
              </a:solidFill>
            </a:rPr>
            <a:t> Price Per Owner Analysis</a:t>
          </a:r>
          <a:endParaRPr lang="en-PH" sz="1800" b="1">
            <a:solidFill>
              <a:srgbClr val="FFFFFF"/>
            </a:solidFill>
          </a:endParaRPr>
        </a:p>
      </xdr:txBody>
    </xdr:sp>
    <xdr:clientData/>
  </xdr:twoCellAnchor>
  <xdr:twoCellAnchor>
    <xdr:from>
      <xdr:col>15</xdr:col>
      <xdr:colOff>461823</xdr:colOff>
      <xdr:row>18</xdr:row>
      <xdr:rowOff>137160</xdr:rowOff>
    </xdr:from>
    <xdr:to>
      <xdr:col>29</xdr:col>
      <xdr:colOff>182423</xdr:colOff>
      <xdr:row>49</xdr:row>
      <xdr:rowOff>57150</xdr:rowOff>
    </xdr:to>
    <xdr:sp macro="" textlink="">
      <xdr:nvSpPr>
        <xdr:cNvPr id="9" name="Rectangle: Rounded Corners 8">
          <a:extLst>
            <a:ext uri="{FF2B5EF4-FFF2-40B4-BE49-F238E27FC236}">
              <a16:creationId xmlns:a16="http://schemas.microsoft.com/office/drawing/2014/main" id="{6F85B405-0937-5E4A-1A45-41914C029C75}"/>
            </a:ext>
          </a:extLst>
        </xdr:cNvPr>
        <xdr:cNvSpPr/>
      </xdr:nvSpPr>
      <xdr:spPr>
        <a:xfrm>
          <a:off x="9605823" y="3566160"/>
          <a:ext cx="8255000" cy="5825490"/>
        </a:xfrm>
        <a:prstGeom prst="roundRect">
          <a:avLst>
            <a:gd name="adj" fmla="val 8000"/>
          </a:avLst>
        </a:prstGeom>
        <a:solidFill>
          <a:srgbClr val="1E363E"/>
        </a:solidFill>
        <a:ln w="19050">
          <a:solidFill>
            <a:srgbClr val="1D373E"/>
          </a:solidFill>
        </a:ln>
        <a:effectLst>
          <a:outerShdw blurRad="127000" dist="71842" dir="2700013" rotWithShape="0">
            <a:scrgbClr r="0" g="0" b="0">
              <a:alpha val="7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90500" tIns="152400" rtlCol="0" anchor="t"/>
        <a:lstStyle/>
        <a:p>
          <a:pPr algn="l"/>
          <a:r>
            <a:rPr lang="en-PH" sz="1800" b="1">
              <a:solidFill>
                <a:srgbClr val="FFFFFF"/>
              </a:solidFill>
            </a:rPr>
            <a:t>Manufacturing Country Distribution</a:t>
          </a:r>
        </a:p>
      </xdr:txBody>
    </xdr:sp>
    <xdr:clientData/>
  </xdr:twoCellAnchor>
  <xdr:twoCellAnchor>
    <xdr:from>
      <xdr:col>1</xdr:col>
      <xdr:colOff>106223</xdr:colOff>
      <xdr:row>46</xdr:row>
      <xdr:rowOff>57328</xdr:rowOff>
    </xdr:from>
    <xdr:to>
      <xdr:col>14</xdr:col>
      <xdr:colOff>436423</xdr:colOff>
      <xdr:row>71</xdr:row>
      <xdr:rowOff>57150</xdr:rowOff>
    </xdr:to>
    <xdr:sp macro="" textlink="">
      <xdr:nvSpPr>
        <xdr:cNvPr id="10" name="Rectangle: Rounded Corners 9">
          <a:extLst>
            <a:ext uri="{FF2B5EF4-FFF2-40B4-BE49-F238E27FC236}">
              <a16:creationId xmlns:a16="http://schemas.microsoft.com/office/drawing/2014/main" id="{FDC98FC8-DDC9-8AC5-ABE3-35AC78C0D6A0}"/>
            </a:ext>
          </a:extLst>
        </xdr:cNvPr>
        <xdr:cNvSpPr/>
      </xdr:nvSpPr>
      <xdr:spPr>
        <a:xfrm>
          <a:off x="715823" y="8820328"/>
          <a:ext cx="8255000" cy="4762322"/>
        </a:xfrm>
        <a:prstGeom prst="roundRect">
          <a:avLst>
            <a:gd name="adj" fmla="val 8000"/>
          </a:avLst>
        </a:prstGeom>
        <a:solidFill>
          <a:srgbClr val="1E363E"/>
        </a:solidFill>
        <a:ln w="19050">
          <a:solidFill>
            <a:srgbClr val="1D373E"/>
          </a:solidFill>
        </a:ln>
        <a:effectLst>
          <a:outerShdw blurRad="127000" dist="71842" dir="2700013" rotWithShape="0">
            <a:scrgbClr r="0" g="0" b="0">
              <a:alpha val="7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90500" tIns="152400" rtlCol="0" anchor="t"/>
        <a:lstStyle/>
        <a:p>
          <a:pPr algn="l"/>
          <a:r>
            <a:rPr lang="en-PH" sz="1800" b="1">
              <a:solidFill>
                <a:srgbClr val="FFFFFF"/>
              </a:solidFill>
            </a:rPr>
            <a:t>Car Color Popularity</a:t>
          </a:r>
        </a:p>
      </xdr:txBody>
    </xdr:sp>
    <xdr:clientData/>
  </xdr:twoCellAnchor>
  <xdr:twoCellAnchor>
    <xdr:from>
      <xdr:col>15</xdr:col>
      <xdr:colOff>472709</xdr:colOff>
      <xdr:row>50</xdr:row>
      <xdr:rowOff>152400</xdr:rowOff>
    </xdr:from>
    <xdr:to>
      <xdr:col>29</xdr:col>
      <xdr:colOff>193309</xdr:colOff>
      <xdr:row>71</xdr:row>
      <xdr:rowOff>24130</xdr:rowOff>
    </xdr:to>
    <xdr:sp macro="" textlink="">
      <xdr:nvSpPr>
        <xdr:cNvPr id="11" name="Rectangle: Rounded Corners 10">
          <a:extLst>
            <a:ext uri="{FF2B5EF4-FFF2-40B4-BE49-F238E27FC236}">
              <a16:creationId xmlns:a16="http://schemas.microsoft.com/office/drawing/2014/main" id="{FDE580BA-AA56-364B-8219-926696511258}"/>
            </a:ext>
          </a:extLst>
        </xdr:cNvPr>
        <xdr:cNvSpPr/>
      </xdr:nvSpPr>
      <xdr:spPr>
        <a:xfrm>
          <a:off x="9616709" y="9677400"/>
          <a:ext cx="8255000" cy="3872230"/>
        </a:xfrm>
        <a:prstGeom prst="roundRect">
          <a:avLst>
            <a:gd name="adj" fmla="val 8000"/>
          </a:avLst>
        </a:prstGeom>
        <a:solidFill>
          <a:srgbClr val="1E363E"/>
        </a:solidFill>
        <a:ln w="19050">
          <a:solidFill>
            <a:srgbClr val="1D373E"/>
          </a:solidFill>
        </a:ln>
        <a:effectLst>
          <a:outerShdw blurRad="127000" dist="71842" dir="2700013" rotWithShape="0">
            <a:scrgbClr r="0" g="0" b="0">
              <a:alpha val="7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90500" tIns="152400" rtlCol="0" anchor="t"/>
        <a:lstStyle/>
        <a:p>
          <a:pPr algn="l"/>
          <a:r>
            <a:rPr lang="en-PH" sz="1800" b="1">
              <a:solidFill>
                <a:srgbClr val="FFFFFF"/>
              </a:solidFill>
            </a:rPr>
            <a:t>Manufacturer Popularity</a:t>
          </a:r>
        </a:p>
      </xdr:txBody>
    </xdr:sp>
    <xdr:clientData/>
  </xdr:twoCellAnchor>
  <xdr:twoCellAnchor>
    <xdr:from>
      <xdr:col>30</xdr:col>
      <xdr:colOff>214084</xdr:colOff>
      <xdr:row>19</xdr:row>
      <xdr:rowOff>66583</xdr:rowOff>
    </xdr:from>
    <xdr:to>
      <xdr:col>40</xdr:col>
      <xdr:colOff>152400</xdr:colOff>
      <xdr:row>29</xdr:row>
      <xdr:rowOff>69272</xdr:rowOff>
    </xdr:to>
    <xdr:sp macro="" textlink="">
      <xdr:nvSpPr>
        <xdr:cNvPr id="12" name="Rectangle: Rounded Corners 11">
          <a:extLst>
            <a:ext uri="{FF2B5EF4-FFF2-40B4-BE49-F238E27FC236}">
              <a16:creationId xmlns:a16="http://schemas.microsoft.com/office/drawing/2014/main" id="{CC07E182-9104-7996-1D92-DD5AC3EE2043}"/>
            </a:ext>
          </a:extLst>
        </xdr:cNvPr>
        <xdr:cNvSpPr/>
      </xdr:nvSpPr>
      <xdr:spPr>
        <a:xfrm>
          <a:off x="18502084" y="3488656"/>
          <a:ext cx="6034316" cy="1803780"/>
        </a:xfrm>
        <a:prstGeom prst="roundRect">
          <a:avLst>
            <a:gd name="adj" fmla="val 8000"/>
          </a:avLst>
        </a:prstGeom>
        <a:solidFill>
          <a:srgbClr val="1E363E"/>
        </a:solidFill>
        <a:ln w="19050">
          <a:solidFill>
            <a:srgbClr val="1D373E"/>
          </a:solidFill>
        </a:ln>
        <a:effectLst>
          <a:outerShdw blurRad="101600" dist="53881" dir="2700016"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27000" rtlCol="0" anchor="t"/>
        <a:lstStyle/>
        <a:p>
          <a:pPr algn="l"/>
          <a:endParaRPr lang="en-PH" sz="1800" b="1">
            <a:solidFill>
              <a:srgbClr val="FFFFFF"/>
            </a:solidFill>
          </a:endParaRPr>
        </a:p>
      </xdr:txBody>
    </xdr:sp>
    <xdr:clientData/>
  </xdr:twoCellAnchor>
  <xdr:twoCellAnchor>
    <xdr:from>
      <xdr:col>30</xdr:col>
      <xdr:colOff>270756</xdr:colOff>
      <xdr:row>33</xdr:row>
      <xdr:rowOff>5922</xdr:rowOff>
    </xdr:from>
    <xdr:to>
      <xdr:col>40</xdr:col>
      <xdr:colOff>105294</xdr:colOff>
      <xdr:row>43</xdr:row>
      <xdr:rowOff>2</xdr:rowOff>
    </xdr:to>
    <xdr:sp macro="" textlink="">
      <xdr:nvSpPr>
        <xdr:cNvPr id="13" name="Rectangle: Rounded Corners 12">
          <a:extLst>
            <a:ext uri="{FF2B5EF4-FFF2-40B4-BE49-F238E27FC236}">
              <a16:creationId xmlns:a16="http://schemas.microsoft.com/office/drawing/2014/main" id="{E9225546-828D-F5F7-8FEA-5A1F219AC05B}"/>
            </a:ext>
          </a:extLst>
        </xdr:cNvPr>
        <xdr:cNvSpPr/>
      </xdr:nvSpPr>
      <xdr:spPr>
        <a:xfrm>
          <a:off x="18558756" y="5949522"/>
          <a:ext cx="5930538" cy="1795171"/>
        </a:xfrm>
        <a:prstGeom prst="roundRect">
          <a:avLst>
            <a:gd name="adj" fmla="val 8000"/>
          </a:avLst>
        </a:prstGeom>
        <a:solidFill>
          <a:srgbClr val="1E363E"/>
        </a:solidFill>
        <a:ln w="19050">
          <a:solidFill>
            <a:srgbClr val="1D373E"/>
          </a:solidFill>
        </a:ln>
        <a:effectLst>
          <a:outerShdw blurRad="101600" dist="53881" dir="2700016"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27000" rtlCol="0" anchor="t"/>
        <a:lstStyle/>
        <a:p>
          <a:pPr algn="l"/>
          <a:endParaRPr lang="en-PH" sz="1800" b="1">
            <a:solidFill>
              <a:srgbClr val="FFFFFF"/>
            </a:solidFill>
          </a:endParaRPr>
        </a:p>
      </xdr:txBody>
    </xdr:sp>
    <xdr:clientData/>
  </xdr:twoCellAnchor>
  <xdr:twoCellAnchor>
    <xdr:from>
      <xdr:col>30</xdr:col>
      <xdr:colOff>329159</xdr:colOff>
      <xdr:row>46</xdr:row>
      <xdr:rowOff>167035</xdr:rowOff>
    </xdr:from>
    <xdr:to>
      <xdr:col>40</xdr:col>
      <xdr:colOff>83127</xdr:colOff>
      <xdr:row>56</xdr:row>
      <xdr:rowOff>152409</xdr:rowOff>
    </xdr:to>
    <xdr:sp macro="" textlink="">
      <xdr:nvSpPr>
        <xdr:cNvPr id="14" name="Rectangle: Rounded Corners 13">
          <a:extLst>
            <a:ext uri="{FF2B5EF4-FFF2-40B4-BE49-F238E27FC236}">
              <a16:creationId xmlns:a16="http://schemas.microsoft.com/office/drawing/2014/main" id="{717C4FF3-DBAE-AFE6-24C8-77F22EC17A7B}"/>
            </a:ext>
          </a:extLst>
        </xdr:cNvPr>
        <xdr:cNvSpPr/>
      </xdr:nvSpPr>
      <xdr:spPr>
        <a:xfrm>
          <a:off x="18617159" y="8452053"/>
          <a:ext cx="5849968" cy="1786465"/>
        </a:xfrm>
        <a:prstGeom prst="roundRect">
          <a:avLst>
            <a:gd name="adj" fmla="val 8000"/>
          </a:avLst>
        </a:prstGeom>
        <a:solidFill>
          <a:srgbClr val="1E363E"/>
        </a:solidFill>
        <a:ln w="19050">
          <a:solidFill>
            <a:srgbClr val="1D373E"/>
          </a:solidFill>
        </a:ln>
        <a:effectLst>
          <a:outerShdw blurRad="101600" dist="53881" dir="2700016"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27000" rtlCol="0" anchor="t"/>
        <a:lstStyle/>
        <a:p>
          <a:pPr algn="l"/>
          <a:endParaRPr lang="en-PH" sz="1800" b="1">
            <a:solidFill>
              <a:srgbClr val="FFFFFF"/>
            </a:solidFill>
          </a:endParaRPr>
        </a:p>
      </xdr:txBody>
    </xdr:sp>
    <xdr:clientData/>
  </xdr:twoCellAnchor>
  <xdr:twoCellAnchor>
    <xdr:from>
      <xdr:col>30</xdr:col>
      <xdr:colOff>304799</xdr:colOff>
      <xdr:row>60</xdr:row>
      <xdr:rowOff>152384</xdr:rowOff>
    </xdr:from>
    <xdr:to>
      <xdr:col>40</xdr:col>
      <xdr:colOff>83126</xdr:colOff>
      <xdr:row>71</xdr:row>
      <xdr:rowOff>1</xdr:rowOff>
    </xdr:to>
    <xdr:sp macro="" textlink="">
      <xdr:nvSpPr>
        <xdr:cNvPr id="15" name="Rectangle: Rounded Corners 14">
          <a:extLst>
            <a:ext uri="{FF2B5EF4-FFF2-40B4-BE49-F238E27FC236}">
              <a16:creationId xmlns:a16="http://schemas.microsoft.com/office/drawing/2014/main" id="{0E9BB603-795A-F1D8-CE1A-2F5EE71E249C}"/>
            </a:ext>
          </a:extLst>
        </xdr:cNvPr>
        <xdr:cNvSpPr/>
      </xdr:nvSpPr>
      <xdr:spPr>
        <a:xfrm>
          <a:off x="18592799" y="10958929"/>
          <a:ext cx="5874327" cy="1828817"/>
        </a:xfrm>
        <a:prstGeom prst="roundRect">
          <a:avLst>
            <a:gd name="adj" fmla="val 8000"/>
          </a:avLst>
        </a:prstGeom>
        <a:solidFill>
          <a:srgbClr val="1E363E"/>
        </a:solidFill>
        <a:ln w="19050">
          <a:solidFill>
            <a:srgbClr val="1D373E"/>
          </a:solidFill>
        </a:ln>
        <a:effectLst>
          <a:outerShdw blurRad="101600" dist="53881" dir="2700016"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27000" rtlCol="0" anchor="t"/>
        <a:lstStyle/>
        <a:p>
          <a:pPr algn="l"/>
          <a:endParaRPr lang="en-PH" sz="1800" b="1">
            <a:solidFill>
              <a:srgbClr val="FFFFFF"/>
            </a:solidFill>
          </a:endParaRPr>
        </a:p>
      </xdr:txBody>
    </xdr:sp>
    <xdr:clientData/>
  </xdr:twoCellAnchor>
  <xdr:twoCellAnchor>
    <xdr:from>
      <xdr:col>1</xdr:col>
      <xdr:colOff>133932</xdr:colOff>
      <xdr:row>9</xdr:row>
      <xdr:rowOff>13856</xdr:rowOff>
    </xdr:from>
    <xdr:to>
      <xdr:col>9</xdr:col>
      <xdr:colOff>526473</xdr:colOff>
      <xdr:row>16</xdr:row>
      <xdr:rowOff>130696</xdr:rowOff>
    </xdr:to>
    <xdr:grpSp>
      <xdr:nvGrpSpPr>
        <xdr:cNvPr id="27" name="Group 26">
          <a:extLst>
            <a:ext uri="{FF2B5EF4-FFF2-40B4-BE49-F238E27FC236}">
              <a16:creationId xmlns:a16="http://schemas.microsoft.com/office/drawing/2014/main" id="{435BFDD1-1A92-7BF7-8BE7-F69CABF6C8E4}"/>
            </a:ext>
          </a:extLst>
        </xdr:cNvPr>
        <xdr:cNvGrpSpPr/>
      </xdr:nvGrpSpPr>
      <xdr:grpSpPr>
        <a:xfrm>
          <a:off x="743532" y="1728356"/>
          <a:ext cx="5269341" cy="1450340"/>
          <a:chOff x="715823" y="1524000"/>
          <a:chExt cx="3810000" cy="1397000"/>
        </a:xfrm>
      </xdr:grpSpPr>
      <xdr:sp macro="" textlink="">
        <xdr:nvSpPr>
          <xdr:cNvPr id="4" name="Rectangle: Rounded Corners 3">
            <a:extLst>
              <a:ext uri="{FF2B5EF4-FFF2-40B4-BE49-F238E27FC236}">
                <a16:creationId xmlns:a16="http://schemas.microsoft.com/office/drawing/2014/main" id="{76195C46-C2C1-6D16-3EBE-9B861E33E436}"/>
              </a:ext>
            </a:extLst>
          </xdr:cNvPr>
          <xdr:cNvSpPr/>
        </xdr:nvSpPr>
        <xdr:spPr>
          <a:xfrm>
            <a:off x="715823" y="1524000"/>
            <a:ext cx="3810000" cy="1397000"/>
          </a:xfrm>
          <a:prstGeom prst="roundRect">
            <a:avLst>
              <a:gd name="adj" fmla="val 8000"/>
            </a:avLst>
          </a:prstGeom>
          <a:solidFill>
            <a:srgbClr val="1E363E"/>
          </a:solidFill>
          <a:ln w="19050">
            <a:solidFill>
              <a:srgbClr val="1D373E"/>
            </a:solidFill>
          </a:ln>
          <a:effectLst>
            <a:outerShdw blurRad="127000" dist="71842" dir="2700013" rotWithShape="0">
              <a:scrgbClr r="0" g="0" b="0">
                <a:alpha val="7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90500" tIns="152400" rtlCol="0" anchor="t"/>
          <a:lstStyle/>
          <a:p>
            <a:pPr algn="l"/>
            <a:r>
              <a:rPr lang="en-PH" sz="1800" b="1">
                <a:solidFill>
                  <a:srgbClr val="FFFFFF"/>
                </a:solidFill>
              </a:rPr>
              <a:t>Most Popular Manufacturer</a:t>
            </a:r>
          </a:p>
        </xdr:txBody>
      </xdr:sp>
      <xdr:sp macro="" textlink="Pivot_Table!A4">
        <xdr:nvSpPr>
          <xdr:cNvPr id="16" name="Rectangle 15">
            <a:extLst>
              <a:ext uri="{FF2B5EF4-FFF2-40B4-BE49-F238E27FC236}">
                <a16:creationId xmlns:a16="http://schemas.microsoft.com/office/drawing/2014/main" id="{D1DDBEBC-6171-C5FA-626C-D9B4C8986DC6}"/>
              </a:ext>
            </a:extLst>
          </xdr:cNvPr>
          <xdr:cNvSpPr/>
        </xdr:nvSpPr>
        <xdr:spPr>
          <a:xfrm>
            <a:off x="942109" y="2122516"/>
            <a:ext cx="3394364" cy="7038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9116614-C057-4EF9-B132-BE46B8078C27}" type="TxLink">
              <a:rPr lang="en-US" sz="3600" b="1" i="0" u="none" strike="noStrike">
                <a:solidFill>
                  <a:schemeClr val="bg1"/>
                </a:solidFill>
                <a:latin typeface="Calibri"/>
                <a:ea typeface="Calibri"/>
                <a:cs typeface="Calibri"/>
              </a:rPr>
              <a:pPr algn="ctr"/>
              <a:t>BMW</a:t>
            </a:fld>
            <a:endParaRPr lang="en-PH" sz="3600" b="1">
              <a:solidFill>
                <a:schemeClr val="bg1"/>
              </a:solidFill>
            </a:endParaRPr>
          </a:p>
        </xdr:txBody>
      </xdr:sp>
    </xdr:grpSp>
    <xdr:clientData/>
  </xdr:twoCellAnchor>
  <xdr:twoCellAnchor>
    <xdr:from>
      <xdr:col>11</xdr:col>
      <xdr:colOff>159323</xdr:colOff>
      <xdr:row>9</xdr:row>
      <xdr:rowOff>27709</xdr:rowOff>
    </xdr:from>
    <xdr:to>
      <xdr:col>19</xdr:col>
      <xdr:colOff>526465</xdr:colOff>
      <xdr:row>16</xdr:row>
      <xdr:rowOff>144549</xdr:rowOff>
    </xdr:to>
    <xdr:grpSp>
      <xdr:nvGrpSpPr>
        <xdr:cNvPr id="26" name="Group 25">
          <a:extLst>
            <a:ext uri="{FF2B5EF4-FFF2-40B4-BE49-F238E27FC236}">
              <a16:creationId xmlns:a16="http://schemas.microsoft.com/office/drawing/2014/main" id="{7944DB9B-7AAD-036A-3F7D-959A93CD3CC6}"/>
            </a:ext>
          </a:extLst>
        </xdr:cNvPr>
        <xdr:cNvGrpSpPr/>
      </xdr:nvGrpSpPr>
      <xdr:grpSpPr>
        <a:xfrm>
          <a:off x="6864923" y="1742209"/>
          <a:ext cx="5243942" cy="1450340"/>
          <a:chOff x="5160823" y="1524000"/>
          <a:chExt cx="3810000" cy="1397000"/>
        </a:xfrm>
      </xdr:grpSpPr>
      <xdr:sp macro="" textlink="">
        <xdr:nvSpPr>
          <xdr:cNvPr id="5" name="Rectangle: Rounded Corners 4">
            <a:extLst>
              <a:ext uri="{FF2B5EF4-FFF2-40B4-BE49-F238E27FC236}">
                <a16:creationId xmlns:a16="http://schemas.microsoft.com/office/drawing/2014/main" id="{280302A5-1B64-DCAA-0664-575AB6B45DEA}"/>
              </a:ext>
            </a:extLst>
          </xdr:cNvPr>
          <xdr:cNvSpPr/>
        </xdr:nvSpPr>
        <xdr:spPr>
          <a:xfrm>
            <a:off x="5160823" y="1524000"/>
            <a:ext cx="3810000" cy="1397000"/>
          </a:xfrm>
          <a:prstGeom prst="roundRect">
            <a:avLst>
              <a:gd name="adj" fmla="val 8000"/>
            </a:avLst>
          </a:prstGeom>
          <a:solidFill>
            <a:srgbClr val="1E363E"/>
          </a:solidFill>
          <a:ln w="19050">
            <a:solidFill>
              <a:srgbClr val="1D373E"/>
            </a:solidFill>
          </a:ln>
          <a:effectLst>
            <a:outerShdw blurRad="127000" dist="71842" dir="2700013" rotWithShape="0">
              <a:scrgbClr r="0" g="0" b="0">
                <a:alpha val="7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90500" tIns="152400" rtlCol="0" anchor="t"/>
          <a:lstStyle/>
          <a:p>
            <a:pPr algn="l"/>
            <a:r>
              <a:rPr lang="en-PH" sz="1800" b="1">
                <a:solidFill>
                  <a:srgbClr val="FFFFFF"/>
                </a:solidFill>
              </a:rPr>
              <a:t>Most Popular Country</a:t>
            </a:r>
          </a:p>
        </xdr:txBody>
      </xdr:sp>
      <xdr:sp macro="" textlink="Pivot_Table!A15">
        <xdr:nvSpPr>
          <xdr:cNvPr id="17" name="Rectangle 16">
            <a:extLst>
              <a:ext uri="{FF2B5EF4-FFF2-40B4-BE49-F238E27FC236}">
                <a16:creationId xmlns:a16="http://schemas.microsoft.com/office/drawing/2014/main" id="{6DE262FC-56FC-4F52-9CB3-A8D70CE92F2B}"/>
              </a:ext>
            </a:extLst>
          </xdr:cNvPr>
          <xdr:cNvSpPr/>
        </xdr:nvSpPr>
        <xdr:spPr>
          <a:xfrm>
            <a:off x="5389416" y="2094803"/>
            <a:ext cx="3394364" cy="7038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DF6E92B-5C34-46CC-9788-B6FB2FFE2133}" type="TxLink">
              <a:rPr lang="en-US" sz="3600" b="1" i="0" u="none" strike="noStrike">
                <a:solidFill>
                  <a:schemeClr val="bg1"/>
                </a:solidFill>
                <a:latin typeface="Calibri"/>
                <a:ea typeface="Calibri"/>
                <a:cs typeface="Calibri"/>
              </a:rPr>
              <a:pPr algn="ctr"/>
              <a:t>Germany</a:t>
            </a:fld>
            <a:endParaRPr lang="en-PH" sz="8800" b="1">
              <a:solidFill>
                <a:schemeClr val="bg1"/>
              </a:solidFill>
            </a:endParaRPr>
          </a:p>
        </xdr:txBody>
      </xdr:sp>
    </xdr:grpSp>
    <xdr:clientData/>
  </xdr:twoCellAnchor>
  <xdr:twoCellAnchor>
    <xdr:from>
      <xdr:col>21</xdr:col>
      <xdr:colOff>181956</xdr:colOff>
      <xdr:row>9</xdr:row>
      <xdr:rowOff>-1</xdr:rowOff>
    </xdr:from>
    <xdr:to>
      <xdr:col>29</xdr:col>
      <xdr:colOff>543094</xdr:colOff>
      <xdr:row>16</xdr:row>
      <xdr:rowOff>116839</xdr:rowOff>
    </xdr:to>
    <xdr:sp macro="" textlink="">
      <xdr:nvSpPr>
        <xdr:cNvPr id="6" name="Rectangle: Rounded Corners 5">
          <a:extLst>
            <a:ext uri="{FF2B5EF4-FFF2-40B4-BE49-F238E27FC236}">
              <a16:creationId xmlns:a16="http://schemas.microsoft.com/office/drawing/2014/main" id="{4384124B-898B-7EFF-B354-512BEE98E394}"/>
            </a:ext>
          </a:extLst>
        </xdr:cNvPr>
        <xdr:cNvSpPr/>
      </xdr:nvSpPr>
      <xdr:spPr>
        <a:xfrm>
          <a:off x="12983556" y="1714499"/>
          <a:ext cx="5237938" cy="1450340"/>
        </a:xfrm>
        <a:prstGeom prst="roundRect">
          <a:avLst>
            <a:gd name="adj" fmla="val 8000"/>
          </a:avLst>
        </a:prstGeom>
        <a:solidFill>
          <a:srgbClr val="1E363E"/>
        </a:solidFill>
        <a:ln w="19050">
          <a:solidFill>
            <a:srgbClr val="1D373E"/>
          </a:solidFill>
        </a:ln>
        <a:effectLst>
          <a:outerShdw blurRad="127000" dist="71842" dir="2700013" rotWithShape="0">
            <a:scrgbClr r="0" g="0" b="0">
              <a:alpha val="7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90500" tIns="152400" rtlCol="0" anchor="t"/>
        <a:lstStyle/>
        <a:p>
          <a:pPr algn="l"/>
          <a:r>
            <a:rPr lang="en-PH" sz="1800" b="1">
              <a:solidFill>
                <a:srgbClr val="FFFFFF"/>
              </a:solidFill>
            </a:rPr>
            <a:t>Least Popular Color</a:t>
          </a:r>
        </a:p>
      </xdr:txBody>
    </xdr:sp>
    <xdr:clientData/>
  </xdr:twoCellAnchor>
  <xdr:twoCellAnchor>
    <xdr:from>
      <xdr:col>21</xdr:col>
      <xdr:colOff>486705</xdr:colOff>
      <xdr:row>12</xdr:row>
      <xdr:rowOff>12473</xdr:rowOff>
    </xdr:from>
    <xdr:to>
      <xdr:col>29</xdr:col>
      <xdr:colOff>276432</xdr:colOff>
      <xdr:row>15</xdr:row>
      <xdr:rowOff>171658</xdr:rowOff>
    </xdr:to>
    <xdr:sp macro="" textlink="Pivot_Table!C23">
      <xdr:nvSpPr>
        <xdr:cNvPr id="18" name="Rectangle 17">
          <a:extLst>
            <a:ext uri="{FF2B5EF4-FFF2-40B4-BE49-F238E27FC236}">
              <a16:creationId xmlns:a16="http://schemas.microsoft.com/office/drawing/2014/main" id="{033C7AEF-05BF-43E1-AAB1-AD93B2E0FB2F}"/>
            </a:ext>
          </a:extLst>
        </xdr:cNvPr>
        <xdr:cNvSpPr/>
      </xdr:nvSpPr>
      <xdr:spPr>
        <a:xfrm>
          <a:off x="13288305" y="2298473"/>
          <a:ext cx="4666527" cy="73068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EA2508-9524-4E48-8C1D-780FA81F7A37}" type="TxLink">
            <a:rPr lang="en-US" sz="2800" b="1" i="0" u="none" strike="noStrike">
              <a:solidFill>
                <a:schemeClr val="bg1"/>
              </a:solidFill>
              <a:latin typeface="Calibri"/>
              <a:ea typeface="Calibri"/>
              <a:cs typeface="Calibri"/>
            </a:rPr>
            <a:pPr algn="ctr"/>
            <a:t> </a:t>
          </a:fld>
          <a:endParaRPr lang="en-PH" sz="28700" b="1">
            <a:solidFill>
              <a:schemeClr val="bg1"/>
            </a:solidFill>
          </a:endParaRPr>
        </a:p>
      </xdr:txBody>
    </xdr:sp>
    <xdr:clientData/>
  </xdr:twoCellAnchor>
  <xdr:twoCellAnchor>
    <xdr:from>
      <xdr:col>31</xdr:col>
      <xdr:colOff>213360</xdr:colOff>
      <xdr:row>9</xdr:row>
      <xdr:rowOff>0</xdr:rowOff>
    </xdr:from>
    <xdr:to>
      <xdr:col>40</xdr:col>
      <xdr:colOff>121463</xdr:colOff>
      <xdr:row>16</xdr:row>
      <xdr:rowOff>116840</xdr:rowOff>
    </xdr:to>
    <xdr:grpSp>
      <xdr:nvGrpSpPr>
        <xdr:cNvPr id="33" name="Group 32">
          <a:extLst>
            <a:ext uri="{FF2B5EF4-FFF2-40B4-BE49-F238E27FC236}">
              <a16:creationId xmlns:a16="http://schemas.microsoft.com/office/drawing/2014/main" id="{CF225F94-5B02-8857-6385-1622AE5B94CE}"/>
            </a:ext>
          </a:extLst>
        </xdr:cNvPr>
        <xdr:cNvGrpSpPr/>
      </xdr:nvGrpSpPr>
      <xdr:grpSpPr>
        <a:xfrm>
          <a:off x="19110960" y="1714500"/>
          <a:ext cx="5394503" cy="1450340"/>
          <a:chOff x="19110960" y="1714500"/>
          <a:chExt cx="5394503" cy="1450340"/>
        </a:xfrm>
      </xdr:grpSpPr>
      <xdr:sp macro="" textlink="">
        <xdr:nvSpPr>
          <xdr:cNvPr id="7" name="Rectangle: Rounded Corners 6">
            <a:extLst>
              <a:ext uri="{FF2B5EF4-FFF2-40B4-BE49-F238E27FC236}">
                <a16:creationId xmlns:a16="http://schemas.microsoft.com/office/drawing/2014/main" id="{71A75C13-F15C-D242-FE24-49CA6E35F3EF}"/>
              </a:ext>
            </a:extLst>
          </xdr:cNvPr>
          <xdr:cNvSpPr/>
        </xdr:nvSpPr>
        <xdr:spPr>
          <a:xfrm>
            <a:off x="19110960" y="1714500"/>
            <a:ext cx="5394503" cy="1450340"/>
          </a:xfrm>
          <a:prstGeom prst="roundRect">
            <a:avLst>
              <a:gd name="adj" fmla="val 8000"/>
            </a:avLst>
          </a:prstGeom>
          <a:solidFill>
            <a:srgbClr val="1E363E"/>
          </a:solidFill>
          <a:ln w="19050">
            <a:solidFill>
              <a:srgbClr val="1D373E"/>
            </a:solidFill>
          </a:ln>
          <a:effectLst>
            <a:outerShdw blurRad="127000" dist="71842" dir="2700013" rotWithShape="0">
              <a:scrgbClr r="0" g="0" b="0">
                <a:alpha val="7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90500" tIns="152400" rtlCol="0" anchor="t"/>
          <a:lstStyle/>
          <a:p>
            <a:pPr algn="l"/>
            <a:r>
              <a:rPr lang="en-PH" sz="1800" b="1">
                <a:solidFill>
                  <a:srgbClr val="FFFFFF"/>
                </a:solidFill>
              </a:rPr>
              <a:t>Average Car</a:t>
            </a:r>
            <a:r>
              <a:rPr lang="en-PH" sz="1800" b="1" baseline="0">
                <a:solidFill>
                  <a:srgbClr val="FFFFFF"/>
                </a:solidFill>
              </a:rPr>
              <a:t> Price</a:t>
            </a:r>
            <a:endParaRPr lang="en-PH" sz="1800" b="1">
              <a:solidFill>
                <a:srgbClr val="FFFFFF"/>
              </a:solidFill>
            </a:endParaRPr>
          </a:p>
        </xdr:txBody>
      </xdr:sp>
      <xdr:sp macro="" textlink="Pivot_Table!B38">
        <xdr:nvSpPr>
          <xdr:cNvPr id="19" name="Rectangle 18">
            <a:extLst>
              <a:ext uri="{FF2B5EF4-FFF2-40B4-BE49-F238E27FC236}">
                <a16:creationId xmlns:a16="http://schemas.microsoft.com/office/drawing/2014/main" id="{717405B8-6DF2-4868-9B9E-0FD3684AE64A}"/>
              </a:ext>
            </a:extLst>
          </xdr:cNvPr>
          <xdr:cNvSpPr/>
        </xdr:nvSpPr>
        <xdr:spPr>
          <a:xfrm>
            <a:off x="19421543" y="2249563"/>
            <a:ext cx="4806012" cy="7278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642EF2-D8BD-4417-9CCE-6EA67E42142A}" type="TxLink">
              <a:rPr lang="en-US" sz="3600" b="1" i="0" u="none" strike="noStrike">
                <a:solidFill>
                  <a:schemeClr val="bg1"/>
                </a:solidFill>
                <a:latin typeface="Calibri"/>
                <a:ea typeface="Calibri"/>
                <a:cs typeface="Calibri"/>
              </a:rPr>
              <a:pPr algn="ctr"/>
              <a:t>$37,699.17</a:t>
            </a:fld>
            <a:endParaRPr lang="en-PH" sz="41300" b="1">
              <a:solidFill>
                <a:schemeClr val="bg1"/>
              </a:solidFill>
            </a:endParaRPr>
          </a:p>
        </xdr:txBody>
      </xdr:sp>
    </xdr:grpSp>
    <xdr:clientData/>
  </xdr:twoCellAnchor>
  <xdr:twoCellAnchor>
    <xdr:from>
      <xdr:col>16</xdr:col>
      <xdr:colOff>266700</xdr:colOff>
      <xdr:row>54</xdr:row>
      <xdr:rowOff>57150</xdr:rowOff>
    </xdr:from>
    <xdr:to>
      <xdr:col>28</xdr:col>
      <xdr:colOff>400050</xdr:colOff>
      <xdr:row>70</xdr:row>
      <xdr:rowOff>38100</xdr:rowOff>
    </xdr:to>
    <xdr:graphicFrame macro="">
      <xdr:nvGraphicFramePr>
        <xdr:cNvPr id="20" name="Chart 19">
          <a:extLst>
            <a:ext uri="{FF2B5EF4-FFF2-40B4-BE49-F238E27FC236}">
              <a16:creationId xmlns:a16="http://schemas.microsoft.com/office/drawing/2014/main" id="{8E1AAE7A-F2C1-4AF4-B1B2-C62E1ACD5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282206</xdr:colOff>
      <xdr:row>22</xdr:row>
      <xdr:rowOff>126422</xdr:rowOff>
    </xdr:from>
    <xdr:to>
      <xdr:col>28</xdr:col>
      <xdr:colOff>419099</xdr:colOff>
      <xdr:row>48</xdr:row>
      <xdr:rowOff>79202</xdr:rowOff>
    </xdr:to>
    <xdr:graphicFrame macro="">
      <xdr:nvGraphicFramePr>
        <xdr:cNvPr id="21" name="Chart 20">
          <a:extLst>
            <a:ext uri="{FF2B5EF4-FFF2-40B4-BE49-F238E27FC236}">
              <a16:creationId xmlns:a16="http://schemas.microsoft.com/office/drawing/2014/main" id="{DAB65803-7B58-4E04-BAEA-1298BD1F0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19136</xdr:colOff>
      <xdr:row>50</xdr:row>
      <xdr:rowOff>18980</xdr:rowOff>
    </xdr:from>
    <xdr:to>
      <xdr:col>13</xdr:col>
      <xdr:colOff>552449</xdr:colOff>
      <xdr:row>69</xdr:row>
      <xdr:rowOff>171449</xdr:rowOff>
    </xdr:to>
    <xdr:graphicFrame macro="">
      <xdr:nvGraphicFramePr>
        <xdr:cNvPr id="22" name="Chart 21">
          <a:extLst>
            <a:ext uri="{FF2B5EF4-FFF2-40B4-BE49-F238E27FC236}">
              <a16:creationId xmlns:a16="http://schemas.microsoft.com/office/drawing/2014/main" id="{AF68DCD4-11E3-4124-BBD6-E25AD4263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566059</xdr:colOff>
      <xdr:row>23</xdr:row>
      <xdr:rowOff>54429</xdr:rowOff>
    </xdr:from>
    <xdr:to>
      <xdr:col>13</xdr:col>
      <xdr:colOff>555172</xdr:colOff>
      <xdr:row>43</xdr:row>
      <xdr:rowOff>32657</xdr:rowOff>
    </xdr:to>
    <xdr:graphicFrame macro="">
      <xdr:nvGraphicFramePr>
        <xdr:cNvPr id="23" name="Chart 22">
          <a:extLst>
            <a:ext uri="{FF2B5EF4-FFF2-40B4-BE49-F238E27FC236}">
              <a16:creationId xmlns:a16="http://schemas.microsoft.com/office/drawing/2014/main" id="{CAD5C0D2-F696-4C28-8707-D2040DF3A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30</xdr:col>
      <xdr:colOff>443346</xdr:colOff>
      <xdr:row>20</xdr:row>
      <xdr:rowOff>83127</xdr:rowOff>
    </xdr:from>
    <xdr:to>
      <xdr:col>39</xdr:col>
      <xdr:colOff>568036</xdr:colOff>
      <xdr:row>28</xdr:row>
      <xdr:rowOff>166254</xdr:rowOff>
    </xdr:to>
    <mc:AlternateContent xmlns:mc="http://schemas.openxmlformats.org/markup-compatibility/2006" xmlns:a14="http://schemas.microsoft.com/office/drawing/2010/main">
      <mc:Choice Requires="a14">
        <xdr:graphicFrame macro="">
          <xdr:nvGraphicFramePr>
            <xdr:cNvPr id="28" name="Company 1">
              <a:extLst>
                <a:ext uri="{FF2B5EF4-FFF2-40B4-BE49-F238E27FC236}">
                  <a16:creationId xmlns:a16="http://schemas.microsoft.com/office/drawing/2014/main" id="{04781A14-3B2D-45D0-ADF0-6DD6985A6131}"/>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18731346" y="3893127"/>
              <a:ext cx="5611090" cy="160712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506284</xdr:colOff>
      <xdr:row>33</xdr:row>
      <xdr:rowOff>138546</xdr:rowOff>
    </xdr:from>
    <xdr:to>
      <xdr:col>39</xdr:col>
      <xdr:colOff>540328</xdr:colOff>
      <xdr:row>42</xdr:row>
      <xdr:rowOff>83128</xdr:rowOff>
    </xdr:to>
    <mc:AlternateContent xmlns:mc="http://schemas.openxmlformats.org/markup-compatibility/2006" xmlns:a14="http://schemas.microsoft.com/office/drawing/2010/main">
      <mc:Choice Requires="a14">
        <xdr:graphicFrame macro="">
          <xdr:nvGraphicFramePr>
            <xdr:cNvPr id="29" name="Country 1">
              <a:extLst>
                <a:ext uri="{FF2B5EF4-FFF2-40B4-BE49-F238E27FC236}">
                  <a16:creationId xmlns:a16="http://schemas.microsoft.com/office/drawing/2014/main" id="{5AD8659B-BBCC-4C97-AE76-8345A52C82B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8794284" y="6425046"/>
              <a:ext cx="5520444" cy="165908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526472</xdr:colOff>
      <xdr:row>61</xdr:row>
      <xdr:rowOff>180092</xdr:rowOff>
    </xdr:from>
    <xdr:to>
      <xdr:col>39</xdr:col>
      <xdr:colOff>540327</xdr:colOff>
      <xdr:row>70</xdr:row>
      <xdr:rowOff>55419</xdr:rowOff>
    </xdr:to>
    <mc:AlternateContent xmlns:mc="http://schemas.openxmlformats.org/markup-compatibility/2006" xmlns:a14="http://schemas.microsoft.com/office/drawing/2010/main">
      <mc:Choice Requires="a14">
        <xdr:graphicFrame macro="">
          <xdr:nvGraphicFramePr>
            <xdr:cNvPr id="31" name="Owner_Order 1">
              <a:extLst>
                <a:ext uri="{FF2B5EF4-FFF2-40B4-BE49-F238E27FC236}">
                  <a16:creationId xmlns:a16="http://schemas.microsoft.com/office/drawing/2014/main" id="{F5A1E717-1382-4EA6-9A21-3935853B01F1}"/>
                </a:ext>
              </a:extLst>
            </xdr:cNvPr>
            <xdr:cNvGraphicFramePr/>
          </xdr:nvGraphicFramePr>
          <xdr:xfrm>
            <a:off x="0" y="0"/>
            <a:ext cx="0" cy="0"/>
          </xdr:xfrm>
          <a:graphic>
            <a:graphicData uri="http://schemas.microsoft.com/office/drawing/2010/slicer">
              <sle:slicer xmlns:sle="http://schemas.microsoft.com/office/drawing/2010/slicer" name="Owner_Order 1"/>
            </a:graphicData>
          </a:graphic>
        </xdr:graphicFrame>
      </mc:Choice>
      <mc:Fallback xmlns="">
        <xdr:sp macro="" textlink="">
          <xdr:nvSpPr>
            <xdr:cNvPr id="0" name=""/>
            <xdr:cNvSpPr>
              <a:spLocks noTextEdit="1"/>
            </xdr:cNvSpPr>
          </xdr:nvSpPr>
          <xdr:spPr>
            <a:xfrm>
              <a:off x="18814472" y="11800592"/>
              <a:ext cx="5500255" cy="158982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390593</xdr:colOff>
      <xdr:row>12</xdr:row>
      <xdr:rowOff>20713</xdr:rowOff>
    </xdr:from>
    <xdr:to>
      <xdr:col>29</xdr:col>
      <xdr:colOff>319805</xdr:colOff>
      <xdr:row>15</xdr:row>
      <xdr:rowOff>177021</xdr:rowOff>
    </xdr:to>
    <xdr:sp macro="" textlink="Pivot_Table!A23">
      <xdr:nvSpPr>
        <xdr:cNvPr id="32" name="Rectangle 31">
          <a:extLst>
            <a:ext uri="{FF2B5EF4-FFF2-40B4-BE49-F238E27FC236}">
              <a16:creationId xmlns:a16="http://schemas.microsoft.com/office/drawing/2014/main" id="{85E4F540-E1B7-46D5-80FE-EB400F2B521D}"/>
            </a:ext>
          </a:extLst>
        </xdr:cNvPr>
        <xdr:cNvSpPr/>
      </xdr:nvSpPr>
      <xdr:spPr>
        <a:xfrm>
          <a:off x="13192193" y="2306713"/>
          <a:ext cx="4806012" cy="7278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0931BE-A38C-4EA8-95AE-C0B0DC9844F0}" type="TxLink">
            <a:rPr lang="en-US" sz="3600" b="1" i="0" u="none" strike="noStrike">
              <a:solidFill>
                <a:schemeClr val="bg1"/>
              </a:solidFill>
              <a:latin typeface="Calibri"/>
              <a:ea typeface="Calibri"/>
              <a:cs typeface="Calibri"/>
            </a:rPr>
            <a:pPr algn="ctr"/>
            <a:t>Yellow</a:t>
          </a:fld>
          <a:endParaRPr lang="en-PH" sz="213200" b="1">
            <a:solidFill>
              <a:schemeClr val="bg1"/>
            </a:solidFill>
          </a:endParaRPr>
        </a:p>
      </xdr:txBody>
    </xdr:sp>
    <xdr:clientData/>
  </xdr:twoCellAnchor>
  <xdr:twoCellAnchor editAs="oneCell">
    <xdr:from>
      <xdr:col>30</xdr:col>
      <xdr:colOff>533400</xdr:colOff>
      <xdr:row>47</xdr:row>
      <xdr:rowOff>171450</xdr:rowOff>
    </xdr:from>
    <xdr:to>
      <xdr:col>39</xdr:col>
      <xdr:colOff>495299</xdr:colOff>
      <xdr:row>55</xdr:row>
      <xdr:rowOff>171450</xdr:rowOff>
    </xdr:to>
    <mc:AlternateContent xmlns:mc="http://schemas.openxmlformats.org/markup-compatibility/2006" xmlns:a14="http://schemas.microsoft.com/office/drawing/2010/main">
      <mc:Choice Requires="a14">
        <xdr:graphicFrame macro="">
          <xdr:nvGraphicFramePr>
            <xdr:cNvPr id="34" name="Color_Clean 1">
              <a:extLst>
                <a:ext uri="{FF2B5EF4-FFF2-40B4-BE49-F238E27FC236}">
                  <a16:creationId xmlns:a16="http://schemas.microsoft.com/office/drawing/2014/main" id="{22C3C265-1FEB-4C4F-A479-B04921B50B20}"/>
                </a:ext>
              </a:extLst>
            </xdr:cNvPr>
            <xdr:cNvGraphicFramePr/>
          </xdr:nvGraphicFramePr>
          <xdr:xfrm>
            <a:off x="0" y="0"/>
            <a:ext cx="0" cy="0"/>
          </xdr:xfrm>
          <a:graphic>
            <a:graphicData uri="http://schemas.microsoft.com/office/drawing/2010/slicer">
              <sle:slicer xmlns:sle="http://schemas.microsoft.com/office/drawing/2010/slicer" name="Color_Clean 1"/>
            </a:graphicData>
          </a:graphic>
        </xdr:graphicFrame>
      </mc:Choice>
      <mc:Fallback xmlns="">
        <xdr:sp macro="" textlink="">
          <xdr:nvSpPr>
            <xdr:cNvPr id="0" name=""/>
            <xdr:cNvSpPr>
              <a:spLocks noTextEdit="1"/>
            </xdr:cNvSpPr>
          </xdr:nvSpPr>
          <xdr:spPr>
            <a:xfrm>
              <a:off x="18821400" y="9124950"/>
              <a:ext cx="5448299" cy="1524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rald Gumahad" refreshedDate="46151.453305208335" createdVersion="8" refreshedVersion="8" minRefreshableVersion="3" recordCount="18" xr:uid="{6BD9AB47-571F-4DD7-8001-3AAF997F923B}">
  <cacheSource type="worksheet">
    <worksheetSource name="SalesTable"/>
  </cacheSource>
  <cacheFields count="12">
    <cacheField name="Car" numFmtId="0">
      <sharedItems/>
    </cacheField>
    <cacheField name="Year" numFmtId="0">
      <sharedItems containsSemiMixedTypes="0" containsString="0" containsNumber="1" containsInteger="1" minValue="2011" maxValue="2021"/>
    </cacheField>
    <cacheField name="KM Driven" numFmtId="0">
      <sharedItems containsSemiMixedTypes="0" containsString="0" containsNumber="1" containsInteger="1" minValue="5000" maxValue="342358"/>
    </cacheField>
    <cacheField name="Color" numFmtId="0">
      <sharedItems count="7">
        <s v="White"/>
        <s v="Red"/>
        <s v="Black"/>
        <s v="Blue"/>
        <s v="Blue "/>
        <s v="Yellow"/>
        <s v=" Black"/>
      </sharedItems>
    </cacheField>
    <cacheField name="Transimission" numFmtId="0">
      <sharedItems/>
    </cacheField>
    <cacheField name="Owner" numFmtId="0">
      <sharedItems/>
    </cacheField>
    <cacheField name="Price (USD)" numFmtId="0">
      <sharedItems/>
    </cacheField>
    <cacheField name="Company" numFmtId="0">
      <sharedItems count="8">
        <s v="BMW"/>
        <s v="Audi"/>
        <s v="Mercedes"/>
        <s v="Lexus"/>
        <s v="Tesla"/>
        <s v="Volvo"/>
        <s v="Cadillac"/>
        <s v="Jaguar"/>
      </sharedItems>
    </cacheField>
    <cacheField name="Country" numFmtId="0">
      <sharedItems count="5">
        <s v="Germany"/>
        <s v="Japan"/>
        <s v="USA"/>
        <s v="Sweden"/>
        <s v="UK"/>
      </sharedItems>
    </cacheField>
    <cacheField name="Price_Clean" numFmtId="164">
      <sharedItems containsSemiMixedTypes="0" containsString="0" containsNumber="1" containsInteger="1" minValue="13241" maxValue="102342"/>
    </cacheField>
    <cacheField name="Owner_Order" numFmtId="0">
      <sharedItems count="4">
        <s v="1"/>
        <s v="2"/>
        <s v="3"/>
        <s v="4"/>
      </sharedItems>
    </cacheField>
    <cacheField name="Color_Clean" numFmtId="0">
      <sharedItems count="5">
        <s v="White"/>
        <s v="Red"/>
        <s v="Black"/>
        <s v="Blue"/>
        <s v="Yellow"/>
      </sharedItems>
    </cacheField>
  </cacheFields>
  <extLst>
    <ext xmlns:x14="http://schemas.microsoft.com/office/spreadsheetml/2009/9/main" uri="{725AE2AE-9491-48be-B2B4-4EB974FC3084}">
      <x14:pivotCacheDefinition pivotCacheId="1328061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BMW X5"/>
    <n v="2012"/>
    <n v="342358"/>
    <x v="0"/>
    <s v="Automatic"/>
    <s v="1st owner"/>
    <s v="$15400"/>
    <x v="0"/>
    <x v="0"/>
    <n v="15400"/>
    <x v="0"/>
    <x v="0"/>
  </r>
  <r>
    <s v="Audi A3"/>
    <n v="2017"/>
    <n v="130000"/>
    <x v="1"/>
    <s v="Manual"/>
    <s v="2nd owner"/>
    <s v="$24321"/>
    <x v="1"/>
    <x v="0"/>
    <n v="24321"/>
    <x v="1"/>
    <x v="1"/>
  </r>
  <r>
    <s v="Mercedes S-Class"/>
    <n v="2020"/>
    <n v="92450"/>
    <x v="2"/>
    <s v="Automatic"/>
    <s v="3rd owner"/>
    <s v="$102342"/>
    <x v="2"/>
    <x v="0"/>
    <n v="102342"/>
    <x v="2"/>
    <x v="2"/>
  </r>
  <r>
    <s v="BMW X5"/>
    <n v="2020"/>
    <n v="76240"/>
    <x v="0"/>
    <s v="Automatic"/>
    <s v="2nd owner"/>
    <s v="$55272"/>
    <x v="0"/>
    <x v="0"/>
    <n v="55272"/>
    <x v="1"/>
    <x v="0"/>
  </r>
  <r>
    <s v="BMW X3"/>
    <n v="2021"/>
    <n v="17283"/>
    <x v="0"/>
    <s v="Manual"/>
    <s v="1st owner"/>
    <s v="$42000"/>
    <x v="0"/>
    <x v="0"/>
    <n v="42000"/>
    <x v="0"/>
    <x v="0"/>
  </r>
  <r>
    <s v="Lexus RX350"/>
    <n v="2020"/>
    <n v="98312"/>
    <x v="1"/>
    <s v="Automatic"/>
    <s v="3rd owner"/>
    <s v="$51292"/>
    <x v="3"/>
    <x v="1"/>
    <n v="51292"/>
    <x v="2"/>
    <x v="1"/>
  </r>
  <r>
    <s v="BMW X3"/>
    <n v="2018"/>
    <n v="156784"/>
    <x v="3"/>
    <s v="Manual"/>
    <s v="3rd owner"/>
    <s v="$37605"/>
    <x v="0"/>
    <x v="0"/>
    <n v="37605"/>
    <x v="2"/>
    <x v="3"/>
  </r>
  <r>
    <s v="BMW X5"/>
    <n v="2019"/>
    <n v="52034"/>
    <x v="4"/>
    <s v="Automatic"/>
    <s v="1st owner"/>
    <s v="$45000"/>
    <x v="0"/>
    <x v="0"/>
    <n v="45000"/>
    <x v="0"/>
    <x v="3"/>
  </r>
  <r>
    <s v="BMW 3 Series"/>
    <n v="2011"/>
    <n v="205204"/>
    <x v="1"/>
    <s v="Automatic"/>
    <s v="2nd owner"/>
    <s v="$13241"/>
    <x v="0"/>
    <x v="0"/>
    <n v="13241"/>
    <x v="1"/>
    <x v="1"/>
  </r>
  <r>
    <s v="Mercedes S-Class"/>
    <n v="2014"/>
    <n v="152985"/>
    <x v="2"/>
    <s v="Automatic"/>
    <s v="2nd owner"/>
    <s v="$49344"/>
    <x v="2"/>
    <x v="0"/>
    <n v="49344"/>
    <x v="1"/>
    <x v="2"/>
  </r>
  <r>
    <s v="Tesla Model 3"/>
    <n v="2018"/>
    <n v="76429"/>
    <x v="5"/>
    <s v="Automatic"/>
    <s v="1st owner"/>
    <s v="$52432"/>
    <x v="4"/>
    <x v="2"/>
    <n v="52432"/>
    <x v="0"/>
    <x v="4"/>
  </r>
  <r>
    <s v="Volvo XC90"/>
    <n v="2013"/>
    <n v="254028"/>
    <x v="6"/>
    <s v="Manual"/>
    <s v="2nd owner"/>
    <s v="$17452"/>
    <x v="5"/>
    <x v="3"/>
    <n v="17452"/>
    <x v="1"/>
    <x v="2"/>
  </r>
  <r>
    <s v="Audi Q7"/>
    <n v="2014"/>
    <n v="45832"/>
    <x v="0"/>
    <s v="Manual"/>
    <s v="1st owner"/>
    <s v="$23250"/>
    <x v="1"/>
    <x v="0"/>
    <n v="23250"/>
    <x v="0"/>
    <x v="0"/>
  </r>
  <r>
    <s v="Cadillac XT5"/>
    <n v="2018"/>
    <n v="67591"/>
    <x v="3"/>
    <s v="Automatic"/>
    <s v="2nd owner"/>
    <s v="$32420"/>
    <x v="6"/>
    <x v="2"/>
    <n v="32420"/>
    <x v="1"/>
    <x v="3"/>
  </r>
  <r>
    <s v="Jaguar XF"/>
    <n v="2013"/>
    <n v="85320"/>
    <x v="0"/>
    <s v="Automatic"/>
    <s v="2nd owner"/>
    <s v="$18454"/>
    <x v="7"/>
    <x v="4"/>
    <n v="18454"/>
    <x v="1"/>
    <x v="0"/>
  </r>
  <r>
    <s v="Lexus RX350"/>
    <n v="2016"/>
    <n v="5000"/>
    <x v="0"/>
    <s v="Automatic"/>
    <s v="1st owner"/>
    <s v="$41000"/>
    <x v="3"/>
    <x v="1"/>
    <n v="41000"/>
    <x v="0"/>
    <x v="0"/>
  </r>
  <r>
    <s v="BMW 428i"/>
    <n v="2017"/>
    <n v="92450"/>
    <x v="1"/>
    <s v="Manual"/>
    <s v="2nd owner"/>
    <s v="$35240"/>
    <x v="0"/>
    <x v="0"/>
    <n v="35240"/>
    <x v="1"/>
    <x v="1"/>
  </r>
  <r>
    <s v="Lexus RX350"/>
    <n v="2015"/>
    <n v="130000"/>
    <x v="2"/>
    <s v="Automatic"/>
    <s v="4th owner"/>
    <s v="$22520"/>
    <x v="3"/>
    <x v="1"/>
    <n v="22520"/>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D83973-F018-4EB3-82EC-5419A554C0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12">
    <pivotField showAll="0"/>
    <pivotField showAll="0"/>
    <pivotField showAll="0"/>
    <pivotField showAll="0">
      <items count="8">
        <item x="6"/>
        <item x="2"/>
        <item x="3"/>
        <item x="4"/>
        <item x="1"/>
        <item x="0"/>
        <item x="5"/>
        <item t="default"/>
      </items>
    </pivotField>
    <pivotField showAll="0"/>
    <pivotField showAll="0"/>
    <pivotField showAll="0"/>
    <pivotField axis="axisRow" dataField="1" showAll="0" sortType="descending">
      <items count="9">
        <item x="1"/>
        <item x="0"/>
        <item x="6"/>
        <item x="7"/>
        <item x="3"/>
        <item x="2"/>
        <item x="4"/>
        <item x="5"/>
        <item t="default"/>
      </items>
      <autoSortScope>
        <pivotArea dataOnly="0" outline="0" fieldPosition="0">
          <references count="1">
            <reference field="4294967294" count="1" selected="0">
              <x v="0"/>
            </reference>
          </references>
        </pivotArea>
      </autoSortScope>
    </pivotField>
    <pivotField showAll="0">
      <items count="6">
        <item x="0"/>
        <item x="1"/>
        <item x="3"/>
        <item x="4"/>
        <item x="2"/>
        <item t="default"/>
      </items>
    </pivotField>
    <pivotField numFmtId="164" showAll="0"/>
    <pivotField showAll="0">
      <items count="5">
        <item x="0"/>
        <item x="1"/>
        <item x="2"/>
        <item x="3"/>
        <item t="default"/>
      </items>
    </pivotField>
    <pivotField showAll="0">
      <items count="6">
        <item x="2"/>
        <item x="3"/>
        <item x="1"/>
        <item x="0"/>
        <item x="4"/>
        <item t="default"/>
      </items>
    </pivotField>
  </pivotFields>
  <rowFields count="1">
    <field x="7"/>
  </rowFields>
  <rowItems count="9">
    <i>
      <x v="1"/>
    </i>
    <i>
      <x v="4"/>
    </i>
    <i>
      <x v="5"/>
    </i>
    <i>
      <x/>
    </i>
    <i>
      <x v="2"/>
    </i>
    <i>
      <x v="6"/>
    </i>
    <i>
      <x v="7"/>
    </i>
    <i>
      <x v="3"/>
    </i>
    <i t="grand">
      <x/>
    </i>
  </rowItems>
  <colItems count="1">
    <i/>
  </colItems>
  <dataFields count="1">
    <dataField name="Count of Company" fld="7"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226630-21BB-4F1F-A780-FC2B321B04F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2:B37" firstHeaderRow="1" firstDataRow="1" firstDataCol="1"/>
  <pivotFields count="12">
    <pivotField showAll="0"/>
    <pivotField showAll="0"/>
    <pivotField showAll="0"/>
    <pivotField showAll="0">
      <items count="8">
        <item x="6"/>
        <item x="2"/>
        <item x="3"/>
        <item x="4"/>
        <item x="1"/>
        <item x="0"/>
        <item x="5"/>
        <item t="default"/>
      </items>
    </pivotField>
    <pivotField showAll="0"/>
    <pivotField showAll="0"/>
    <pivotField showAll="0"/>
    <pivotField showAll="0">
      <items count="9">
        <item x="1"/>
        <item x="0"/>
        <item x="6"/>
        <item x="7"/>
        <item x="3"/>
        <item x="2"/>
        <item x="4"/>
        <item x="5"/>
        <item t="default"/>
      </items>
    </pivotField>
    <pivotField showAll="0">
      <items count="6">
        <item x="0"/>
        <item x="1"/>
        <item x="3"/>
        <item x="4"/>
        <item x="2"/>
        <item t="default"/>
      </items>
    </pivotField>
    <pivotField dataField="1" numFmtId="164" showAll="0"/>
    <pivotField axis="axisRow" showAll="0">
      <items count="5">
        <item x="0"/>
        <item x="1"/>
        <item x="2"/>
        <item x="3"/>
        <item t="default"/>
      </items>
    </pivotField>
    <pivotField showAll="0"/>
  </pivotFields>
  <rowFields count="1">
    <field x="10"/>
  </rowFields>
  <rowItems count="5">
    <i>
      <x/>
    </i>
    <i>
      <x v="1"/>
    </i>
    <i>
      <x v="2"/>
    </i>
    <i>
      <x v="3"/>
    </i>
    <i t="grand">
      <x/>
    </i>
  </rowItems>
  <colItems count="1">
    <i/>
  </colItems>
  <dataFields count="1">
    <dataField name="Average of Price_Clean" fld="9" subtotal="average" baseField="10" baseItem="0" numFmtId="16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5AE020-9704-4D36-9E09-C8F11DDCC0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B28" firstHeaderRow="1" firstDataRow="1" firstDataCol="1"/>
  <pivotFields count="12">
    <pivotField showAll="0"/>
    <pivotField showAll="0"/>
    <pivotField showAll="0"/>
    <pivotField showAll="0">
      <items count="8">
        <item x="6"/>
        <item x="2"/>
        <item x="3"/>
        <item x="4"/>
        <item x="1"/>
        <item x="0"/>
        <item x="5"/>
        <item t="default"/>
      </items>
    </pivotField>
    <pivotField showAll="0"/>
    <pivotField showAll="0"/>
    <pivotField showAll="0"/>
    <pivotField showAll="0">
      <items count="9">
        <item x="1"/>
        <item x="0"/>
        <item x="6"/>
        <item x="7"/>
        <item x="3"/>
        <item x="2"/>
        <item x="4"/>
        <item x="5"/>
        <item t="default"/>
      </items>
    </pivotField>
    <pivotField showAll="0">
      <items count="6">
        <item x="0"/>
        <item x="1"/>
        <item x="3"/>
        <item x="4"/>
        <item x="2"/>
        <item t="default"/>
      </items>
    </pivotField>
    <pivotField numFmtId="164" showAll="0"/>
    <pivotField showAll="0">
      <items count="5">
        <item x="0"/>
        <item x="1"/>
        <item x="2"/>
        <item x="3"/>
        <item t="default"/>
      </items>
    </pivotField>
    <pivotField axis="axisRow" dataField="1" showAll="0" sortType="ascending">
      <items count="6">
        <item x="2"/>
        <item x="3"/>
        <item x="1"/>
        <item x="0"/>
        <item x="4"/>
        <item t="default"/>
      </items>
      <autoSortScope>
        <pivotArea dataOnly="0" outline="0" fieldPosition="0">
          <references count="1">
            <reference field="4294967294" count="1" selected="0">
              <x v="0"/>
            </reference>
          </references>
        </pivotArea>
      </autoSortScope>
    </pivotField>
  </pivotFields>
  <rowFields count="1">
    <field x="11"/>
  </rowFields>
  <rowItems count="6">
    <i>
      <x v="4"/>
    </i>
    <i>
      <x v="1"/>
    </i>
    <i>
      <x v="2"/>
    </i>
    <i>
      <x/>
    </i>
    <i>
      <x v="3"/>
    </i>
    <i t="grand">
      <x/>
    </i>
  </rowItems>
  <colItems count="1">
    <i/>
  </colItems>
  <dataFields count="1">
    <dataField name="Count of Color_Clean" fld="11" subtotal="count" baseField="0" baseItem="0"/>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3C1487-DBE1-4625-A47C-80A0452974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20" firstHeaderRow="1" firstDataRow="1" firstDataCol="1"/>
  <pivotFields count="12">
    <pivotField showAll="0"/>
    <pivotField showAll="0"/>
    <pivotField showAll="0"/>
    <pivotField showAll="0">
      <items count="8">
        <item x="6"/>
        <item x="2"/>
        <item x="3"/>
        <item x="4"/>
        <item x="1"/>
        <item x="0"/>
        <item x="5"/>
        <item t="default"/>
      </items>
    </pivotField>
    <pivotField showAll="0"/>
    <pivotField showAll="0"/>
    <pivotField showAll="0"/>
    <pivotField showAll="0">
      <items count="9">
        <item x="1"/>
        <item x="0"/>
        <item x="6"/>
        <item x="7"/>
        <item x="3"/>
        <item x="2"/>
        <item x="4"/>
        <item x="5"/>
        <item t="default"/>
      </items>
    </pivotField>
    <pivotField axis="axisRow" dataField="1" showAll="0" sortType="descending">
      <items count="6">
        <item x="0"/>
        <item x="1"/>
        <item x="3"/>
        <item x="4"/>
        <item x="2"/>
        <item t="default"/>
      </items>
      <autoSortScope>
        <pivotArea dataOnly="0" outline="0" fieldPosition="0">
          <references count="1">
            <reference field="4294967294" count="1" selected="0">
              <x v="0"/>
            </reference>
          </references>
        </pivotArea>
      </autoSortScope>
    </pivotField>
    <pivotField numFmtId="164" showAll="0"/>
    <pivotField showAll="0">
      <items count="5">
        <item x="0"/>
        <item x="1"/>
        <item x="2"/>
        <item x="3"/>
        <item t="default"/>
      </items>
    </pivotField>
    <pivotField showAll="0">
      <items count="6">
        <item x="2"/>
        <item x="3"/>
        <item x="1"/>
        <item x="0"/>
        <item x="4"/>
        <item t="default"/>
      </items>
    </pivotField>
  </pivotFields>
  <rowFields count="1">
    <field x="8"/>
  </rowFields>
  <rowItems count="6">
    <i>
      <x/>
    </i>
    <i>
      <x v="1"/>
    </i>
    <i>
      <x v="4"/>
    </i>
    <i>
      <x v="3"/>
    </i>
    <i>
      <x v="2"/>
    </i>
    <i t="grand">
      <x/>
    </i>
  </rowItems>
  <colItems count="1">
    <i/>
  </colItems>
  <dataFields count="1">
    <dataField name="Count of Country" fld="8"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 chart="2" format="10">
      <pivotArea type="data" outline="0" fieldPosition="0">
        <references count="2">
          <reference field="4294967294" count="1" selected="0">
            <x v="0"/>
          </reference>
          <reference field="8" count="1" selected="0">
            <x v="4"/>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2" format="12">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4"/>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5DE4C9CA-BA83-4F13-91A6-B8C343F4D159}" sourceName="Company">
  <pivotTables>
    <pivotTable tabId="7" name="PivotTable3"/>
    <pivotTable tabId="7" name="PivotTable1"/>
    <pivotTable tabId="7" name="PivotTable2"/>
    <pivotTable tabId="7" name="PivotTable4"/>
  </pivotTables>
  <data>
    <tabular pivotCacheId="1328061965">
      <items count="8">
        <i x="1" s="1"/>
        <i x="0" s="1"/>
        <i x="6" s="1"/>
        <i x="7" s="1"/>
        <i x="3" s="1"/>
        <i x="2"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1C293CA-3BF7-42D0-9587-83E62E3E1B8A}" sourceName="Country">
  <pivotTables>
    <pivotTable tabId="7" name="PivotTable4"/>
    <pivotTable tabId="7" name="PivotTable1"/>
    <pivotTable tabId="7" name="PivotTable2"/>
    <pivotTable tabId="7" name="PivotTable3"/>
  </pivotTables>
  <data>
    <tabular pivotCacheId="1328061965">
      <items count="5">
        <i x="0" s="1"/>
        <i x="1" s="1"/>
        <i x="3"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_Order" xr10:uid="{1A075DB6-705B-444A-8A95-F24A776DCB74}" sourceName="Owner_Order">
  <pivotTables>
    <pivotTable tabId="7" name="PivotTable4"/>
    <pivotTable tabId="7" name="PivotTable1"/>
    <pivotTable tabId="7" name="PivotTable2"/>
    <pivotTable tabId="7" name="PivotTable3"/>
  </pivotTables>
  <data>
    <tabular pivotCacheId="1328061965">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_Clean" xr10:uid="{83047A73-65FD-4455-B554-EAE5409E8782}" sourceName="Color_Clean">
  <pivotTables>
    <pivotTable tabId="7" name="PivotTable3"/>
    <pivotTable tabId="7" name="PivotTable1"/>
    <pivotTable tabId="7" name="PivotTable2"/>
  </pivotTables>
  <data>
    <tabular pivotCacheId="1328061965">
      <items count="5">
        <i x="2" s="1"/>
        <i x="3"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7E9190FA-9DF9-4D8F-A791-BB82CFA4DEA6}" cache="Slicer_Company" caption="Company" rowHeight="234950"/>
  <slicer name="Country" xr10:uid="{345A125F-FDCD-4FE5-A77D-E14342563B3B}" cache="Slicer_Country" caption="Country" rowHeight="234950"/>
  <slicer name="Owner_Order" xr10:uid="{4D36600B-7B54-43C0-8B4F-2E966D44493E}" cache="Slicer_Owner_Order" caption="Owner_Order" rowHeight="234950"/>
  <slicer name="Color_Clean" xr10:uid="{8EF9EBDF-C16B-4B62-B4A6-4CB904D5796E}" cache="Slicer_Color_Clean" caption="Color_Clea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1" xr10:uid="{0BEABEEE-6DDF-45C7-BC6F-6361E2B0B8CA}" cache="Slicer_Company" caption="Company" columnCount="4" rowHeight="504000"/>
  <slicer name="Country 1" xr10:uid="{10975428-0582-40CB-B73F-99432DEEF593}" cache="Slicer_Country" caption="Country" columnCount="2" rowHeight="396000"/>
  <slicer name="Owner_Order 1" xr10:uid="{83EB407F-9C84-4D80-A67B-243CA92D036E}" cache="Slicer_Owner_Order" caption="Owner_Order" columnCount="2" rowHeight="540000"/>
  <slicer name="Color_Clean 1" xr10:uid="{3ACEAC3A-6E13-4355-8133-249241284913}" cache="Slicer_Color_Clean" caption="Color_Clean" columnCount="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A74936-5DDA-418F-9BD0-CBD81EE43876}" name="SalesTable" displayName="SalesTable" ref="A1:L19" totalsRowShown="0" headerRowDxfId="9">
  <autoFilter ref="A1:L19" xr:uid="{6FA74936-5DDA-418F-9BD0-CBD81EE43876}"/>
  <tableColumns count="12">
    <tableColumn id="1" xr3:uid="{44A1DD91-F5B8-48F4-8A34-00774813560C}" name="Car" dataDxfId="8"/>
    <tableColumn id="2" xr3:uid="{E083D377-E24C-4AFF-936D-5AD038A83B2D}" name="Year" dataDxfId="7"/>
    <tableColumn id="3" xr3:uid="{61035A5F-60F8-448B-B053-AD83BA4AFF78}" name="KM Driven" dataDxfId="6"/>
    <tableColumn id="4" xr3:uid="{9E7E3D7E-416C-48CB-B550-D45FAFE69882}" name="Color" dataDxfId="5"/>
    <tableColumn id="5" xr3:uid="{AC2427A4-4061-43A5-B773-10D5F54581D6}" name="Transimission" dataDxfId="4"/>
    <tableColumn id="6" xr3:uid="{2A1DE4DF-08A4-4695-8913-FCAF3C8FF73C}" name="Owner" dataDxfId="3"/>
    <tableColumn id="7" xr3:uid="{F19BF6CB-8203-4560-B60B-13D711183370}" name="Price (USD)" dataDxfId="2"/>
    <tableColumn id="8" xr3:uid="{7D1A17F8-23D7-45D5-AF97-8B2086197C9D}" name="Company">
      <calculatedColumnFormula>LEFT(A2,FIND(" ",A2)-1)</calculatedColumnFormula>
    </tableColumn>
    <tableColumn id="9" xr3:uid="{FD039508-A7F1-4DFF-8E5B-E178DFA2C4F8}" name="Country">
      <calculatedColumnFormula>_xlfn.XLOOKUP(H2,'Manufacturing country'!A:A,'Manufacturing country'!B:B,"Not Found")</calculatedColumnFormula>
    </tableColumn>
    <tableColumn id="10" xr3:uid="{EB216EDE-307F-4AFE-9769-7B95716A5053}" name="Price_Clean" dataDxfId="1">
      <calculatedColumnFormula>VALUE(SUBSTITUTE(SUBSTITUTE(G2,"$",""),",",""))</calculatedColumnFormula>
    </tableColumn>
    <tableColumn id="11" xr3:uid="{C5084659-C1B7-4C1A-AF76-E39591E096AA}" name="Owner_Order">
      <calculatedColumnFormula>LEFT(F2,1)</calculatedColumnFormula>
    </tableColumn>
    <tableColumn id="12" xr3:uid="{782F11E3-C262-4561-8942-885EB8F59B50}" name="Color_Clean" dataDxfId="0">
      <calculatedColumnFormula>PROPER(TRIM(D2))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1:B1000"/>
  <sheetViews>
    <sheetView tabSelected="1" workbookViewId="0">
      <selection activeCell="B2" sqref="B2"/>
    </sheetView>
  </sheetViews>
  <sheetFormatPr defaultColWidth="14.44140625" defaultRowHeight="15" customHeight="1" x14ac:dyDescent="0.3"/>
  <cols>
    <col min="1" max="26" width="8.6640625" customWidth="1"/>
  </cols>
  <sheetData>
    <row r="1" spans="1:2" ht="14.25" customHeight="1" x14ac:dyDescent="0.3">
      <c r="A1" s="3" t="s">
        <v>50</v>
      </c>
      <c r="B1" s="3" t="s">
        <v>51</v>
      </c>
    </row>
    <row r="2" spans="1:2" ht="14.25" customHeight="1" x14ac:dyDescent="0.3">
      <c r="A2" s="4" t="s">
        <v>52</v>
      </c>
      <c r="B2" s="4" t="s">
        <v>53</v>
      </c>
    </row>
    <row r="3" spans="1:2" ht="14.25" customHeight="1" x14ac:dyDescent="0.3">
      <c r="A3" s="4" t="s">
        <v>54</v>
      </c>
      <c r="B3" s="4" t="s">
        <v>53</v>
      </c>
    </row>
    <row r="4" spans="1:2" ht="14.25" customHeight="1" x14ac:dyDescent="0.3">
      <c r="A4" s="4" t="s">
        <v>55</v>
      </c>
      <c r="B4" s="4" t="s">
        <v>56</v>
      </c>
    </row>
    <row r="5" spans="1:2" ht="14.25" customHeight="1" x14ac:dyDescent="0.3">
      <c r="A5" s="4" t="s">
        <v>57</v>
      </c>
      <c r="B5" s="4" t="s">
        <v>58</v>
      </c>
    </row>
    <row r="6" spans="1:2" ht="14.25" customHeight="1" x14ac:dyDescent="0.3">
      <c r="A6" s="4" t="s">
        <v>59</v>
      </c>
      <c r="B6" s="4" t="s">
        <v>53</v>
      </c>
    </row>
    <row r="7" spans="1:2" ht="14.25" customHeight="1" x14ac:dyDescent="0.3">
      <c r="A7" s="4" t="s">
        <v>60</v>
      </c>
      <c r="B7" s="4" t="s">
        <v>61</v>
      </c>
    </row>
    <row r="8" spans="1:2" ht="14.25" customHeight="1" x14ac:dyDescent="0.3">
      <c r="A8" s="4" t="s">
        <v>62</v>
      </c>
      <c r="B8" s="4" t="s">
        <v>56</v>
      </c>
    </row>
    <row r="9" spans="1:2" ht="14.25" customHeight="1" x14ac:dyDescent="0.3">
      <c r="A9" s="4" t="s">
        <v>63</v>
      </c>
      <c r="B9" s="4" t="s">
        <v>64</v>
      </c>
    </row>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L1000"/>
  <sheetViews>
    <sheetView workbookViewId="0">
      <selection activeCell="I23" sqref="I23"/>
    </sheetView>
  </sheetViews>
  <sheetFormatPr defaultColWidth="14.44140625" defaultRowHeight="15" customHeight="1" x14ac:dyDescent="0.3"/>
  <cols>
    <col min="1" max="1" width="16" bestFit="1" customWidth="1"/>
    <col min="2" max="2" width="7.109375" bestFit="1" customWidth="1"/>
    <col min="3" max="3" width="12.21875" bestFit="1" customWidth="1"/>
    <col min="4" max="4" width="8" bestFit="1" customWidth="1"/>
    <col min="5" max="5" width="15.44140625" bestFit="1" customWidth="1"/>
    <col min="6" max="6" width="9.44140625" bestFit="1" customWidth="1"/>
    <col min="7" max="7" width="13.44140625" bestFit="1" customWidth="1"/>
    <col min="8" max="8" width="11.44140625" bestFit="1" customWidth="1"/>
    <col min="9" max="9" width="10.33203125" bestFit="1" customWidth="1"/>
    <col min="10" max="10" width="13.5546875" style="5" bestFit="1" customWidth="1"/>
    <col min="11" max="11" width="15.109375" bestFit="1" customWidth="1"/>
    <col min="12" max="12" width="13.88671875" bestFit="1" customWidth="1"/>
    <col min="13" max="26" width="8.6640625" customWidth="1"/>
  </cols>
  <sheetData>
    <row r="1" spans="1:12" ht="14.25" customHeight="1" x14ac:dyDescent="0.3">
      <c r="A1" s="1" t="s">
        <v>0</v>
      </c>
      <c r="B1" s="1" t="s">
        <v>1</v>
      </c>
      <c r="C1" s="1" t="s">
        <v>2</v>
      </c>
      <c r="D1" s="1" t="s">
        <v>3</v>
      </c>
      <c r="E1" s="1" t="s">
        <v>4</v>
      </c>
      <c r="F1" s="1" t="s">
        <v>5</v>
      </c>
      <c r="G1" s="1" t="s">
        <v>6</v>
      </c>
      <c r="H1" s="6" t="s">
        <v>50</v>
      </c>
      <c r="I1" s="6" t="s">
        <v>51</v>
      </c>
      <c r="J1" s="7" t="s">
        <v>65</v>
      </c>
      <c r="K1" s="6" t="s">
        <v>66</v>
      </c>
      <c r="L1" s="6" t="s">
        <v>77</v>
      </c>
    </row>
    <row r="2" spans="1:12" ht="14.25" customHeight="1" x14ac:dyDescent="0.3">
      <c r="A2" s="2" t="s">
        <v>7</v>
      </c>
      <c r="B2" s="2">
        <v>2012</v>
      </c>
      <c r="C2" s="2">
        <v>342358</v>
      </c>
      <c r="D2" s="2" t="s">
        <v>8</v>
      </c>
      <c r="E2" s="2" t="s">
        <v>9</v>
      </c>
      <c r="F2" s="2" t="s">
        <v>10</v>
      </c>
      <c r="G2" s="2" t="s">
        <v>11</v>
      </c>
      <c r="H2" t="str">
        <f>LEFT(A2,FIND(" ",A2)-1)</f>
        <v>BMW</v>
      </c>
      <c r="I2" t="str">
        <f>_xlfn.XLOOKUP(H2,'Manufacturing country'!A:A,'Manufacturing country'!B:B,"Not Found")</f>
        <v>Germany</v>
      </c>
      <c r="J2" s="5">
        <f>VALUE(SUBSTITUTE(SUBSTITUTE(G2,"$",""),",",""))</f>
        <v>15400</v>
      </c>
      <c r="K2" t="str">
        <f t="shared" ref="K2:K19" si="0">LEFT(F2,1)</f>
        <v>1</v>
      </c>
      <c r="L2" t="str">
        <f t="shared" ref="L2:L19" si="1">PROPER(TRIM(D2))</f>
        <v>White</v>
      </c>
    </row>
    <row r="3" spans="1:12" ht="14.25" customHeight="1" x14ac:dyDescent="0.3">
      <c r="A3" s="2" t="s">
        <v>12</v>
      </c>
      <c r="B3" s="2">
        <v>2017</v>
      </c>
      <c r="C3" s="2">
        <v>130000</v>
      </c>
      <c r="D3" s="2" t="s">
        <v>13</v>
      </c>
      <c r="E3" s="2" t="s">
        <v>14</v>
      </c>
      <c r="F3" s="2" t="s">
        <v>15</v>
      </c>
      <c r="G3" s="2" t="s">
        <v>16</v>
      </c>
      <c r="H3" t="str">
        <f t="shared" ref="H3:H19" si="2">LEFT(A3,FIND(" ",A3)-1)</f>
        <v>Audi</v>
      </c>
      <c r="I3" t="str">
        <f>_xlfn.XLOOKUP(H3,'Manufacturing country'!A:A,'Manufacturing country'!B:B,"Not Found")</f>
        <v>Germany</v>
      </c>
      <c r="J3" s="5">
        <f t="shared" ref="J3:J19" si="3">VALUE(SUBSTITUTE(SUBSTITUTE(G3,"$",""),",",""))</f>
        <v>24321</v>
      </c>
      <c r="K3" t="str">
        <f t="shared" si="0"/>
        <v>2</v>
      </c>
      <c r="L3" t="str">
        <f t="shared" si="1"/>
        <v>Red</v>
      </c>
    </row>
    <row r="4" spans="1:12" ht="14.25" customHeight="1" x14ac:dyDescent="0.3">
      <c r="A4" s="2" t="s">
        <v>17</v>
      </c>
      <c r="B4" s="2">
        <v>2020</v>
      </c>
      <c r="C4" s="2">
        <v>92450</v>
      </c>
      <c r="D4" s="2" t="s">
        <v>18</v>
      </c>
      <c r="E4" s="2" t="s">
        <v>9</v>
      </c>
      <c r="F4" s="2" t="s">
        <v>19</v>
      </c>
      <c r="G4" s="2" t="s">
        <v>20</v>
      </c>
      <c r="H4" t="str">
        <f t="shared" si="2"/>
        <v>Mercedes</v>
      </c>
      <c r="I4" t="str">
        <f>_xlfn.XLOOKUP(H4,'Manufacturing country'!A:A,'Manufacturing country'!B:B,"Not Found")</f>
        <v>Germany</v>
      </c>
      <c r="J4" s="5">
        <f t="shared" si="3"/>
        <v>102342</v>
      </c>
      <c r="K4" t="str">
        <f t="shared" si="0"/>
        <v>3</v>
      </c>
      <c r="L4" t="str">
        <f t="shared" si="1"/>
        <v>Black</v>
      </c>
    </row>
    <row r="5" spans="1:12" ht="14.25" customHeight="1" x14ac:dyDescent="0.3">
      <c r="A5" s="2" t="s">
        <v>7</v>
      </c>
      <c r="B5" s="2">
        <v>2020</v>
      </c>
      <c r="C5" s="2">
        <v>76240</v>
      </c>
      <c r="D5" s="2" t="s">
        <v>8</v>
      </c>
      <c r="E5" s="2" t="s">
        <v>9</v>
      </c>
      <c r="F5" s="2" t="s">
        <v>15</v>
      </c>
      <c r="G5" s="2" t="s">
        <v>21</v>
      </c>
      <c r="H5" t="str">
        <f t="shared" si="2"/>
        <v>BMW</v>
      </c>
      <c r="I5" t="str">
        <f>_xlfn.XLOOKUP(H5,'Manufacturing country'!A:A,'Manufacturing country'!B:B,"Not Found")</f>
        <v>Germany</v>
      </c>
      <c r="J5" s="5">
        <f t="shared" si="3"/>
        <v>55272</v>
      </c>
      <c r="K5" t="str">
        <f t="shared" si="0"/>
        <v>2</v>
      </c>
      <c r="L5" t="str">
        <f t="shared" si="1"/>
        <v>White</v>
      </c>
    </row>
    <row r="6" spans="1:12" ht="14.25" customHeight="1" x14ac:dyDescent="0.3">
      <c r="A6" s="2" t="s">
        <v>22</v>
      </c>
      <c r="B6" s="2">
        <v>2021</v>
      </c>
      <c r="C6" s="2">
        <v>17283</v>
      </c>
      <c r="D6" s="2" t="s">
        <v>8</v>
      </c>
      <c r="E6" s="2" t="s">
        <v>14</v>
      </c>
      <c r="F6" s="2" t="s">
        <v>10</v>
      </c>
      <c r="G6" s="2" t="s">
        <v>23</v>
      </c>
      <c r="H6" t="str">
        <f t="shared" si="2"/>
        <v>BMW</v>
      </c>
      <c r="I6" t="str">
        <f>_xlfn.XLOOKUP(H6,'Manufacturing country'!A:A,'Manufacturing country'!B:B,"Not Found")</f>
        <v>Germany</v>
      </c>
      <c r="J6" s="5">
        <f t="shared" si="3"/>
        <v>42000</v>
      </c>
      <c r="K6" t="str">
        <f t="shared" si="0"/>
        <v>1</v>
      </c>
      <c r="L6" t="str">
        <f t="shared" si="1"/>
        <v>White</v>
      </c>
    </row>
    <row r="7" spans="1:12" ht="14.25" customHeight="1" x14ac:dyDescent="0.3">
      <c r="A7" s="2" t="s">
        <v>24</v>
      </c>
      <c r="B7" s="2">
        <v>2020</v>
      </c>
      <c r="C7" s="2">
        <v>98312</v>
      </c>
      <c r="D7" s="2" t="s">
        <v>13</v>
      </c>
      <c r="E7" s="2" t="s">
        <v>9</v>
      </c>
      <c r="F7" s="2" t="s">
        <v>19</v>
      </c>
      <c r="G7" s="2" t="s">
        <v>25</v>
      </c>
      <c r="H7" t="str">
        <f t="shared" si="2"/>
        <v>Lexus</v>
      </c>
      <c r="I7" t="str">
        <f>_xlfn.XLOOKUP(H7,'Manufacturing country'!A:A,'Manufacturing country'!B:B,"Not Found")</f>
        <v>Japan</v>
      </c>
      <c r="J7" s="5">
        <f t="shared" si="3"/>
        <v>51292</v>
      </c>
      <c r="K7" t="str">
        <f t="shared" si="0"/>
        <v>3</v>
      </c>
      <c r="L7" t="str">
        <f t="shared" si="1"/>
        <v>Red</v>
      </c>
    </row>
    <row r="8" spans="1:12" ht="14.25" customHeight="1" x14ac:dyDescent="0.3">
      <c r="A8" s="2" t="s">
        <v>22</v>
      </c>
      <c r="B8" s="2">
        <v>2018</v>
      </c>
      <c r="C8" s="2">
        <v>156784</v>
      </c>
      <c r="D8" s="2" t="s">
        <v>26</v>
      </c>
      <c r="E8" s="2" t="s">
        <v>14</v>
      </c>
      <c r="F8" s="2" t="s">
        <v>19</v>
      </c>
      <c r="G8" s="2" t="s">
        <v>27</v>
      </c>
      <c r="H8" t="str">
        <f t="shared" si="2"/>
        <v>BMW</v>
      </c>
      <c r="I8" t="str">
        <f>_xlfn.XLOOKUP(H8,'Manufacturing country'!A:A,'Manufacturing country'!B:B,"Not Found")</f>
        <v>Germany</v>
      </c>
      <c r="J8" s="5">
        <f t="shared" si="3"/>
        <v>37605</v>
      </c>
      <c r="K8" t="str">
        <f t="shared" si="0"/>
        <v>3</v>
      </c>
      <c r="L8" t="str">
        <f t="shared" si="1"/>
        <v>Blue</v>
      </c>
    </row>
    <row r="9" spans="1:12" ht="14.25" customHeight="1" x14ac:dyDescent="0.3">
      <c r="A9" s="2" t="s">
        <v>7</v>
      </c>
      <c r="B9" s="2">
        <v>2019</v>
      </c>
      <c r="C9" s="2">
        <v>52034</v>
      </c>
      <c r="D9" s="2" t="s">
        <v>28</v>
      </c>
      <c r="E9" s="2" t="s">
        <v>9</v>
      </c>
      <c r="F9" s="2" t="s">
        <v>10</v>
      </c>
      <c r="G9" s="2" t="s">
        <v>29</v>
      </c>
      <c r="H9" t="str">
        <f t="shared" si="2"/>
        <v>BMW</v>
      </c>
      <c r="I9" t="str">
        <f>_xlfn.XLOOKUP(H9,'Manufacturing country'!A:A,'Manufacturing country'!B:B,"Not Found")</f>
        <v>Germany</v>
      </c>
      <c r="J9" s="5">
        <f t="shared" si="3"/>
        <v>45000</v>
      </c>
      <c r="K9" t="str">
        <f t="shared" si="0"/>
        <v>1</v>
      </c>
      <c r="L9" t="str">
        <f t="shared" si="1"/>
        <v>Blue</v>
      </c>
    </row>
    <row r="10" spans="1:12" ht="14.25" customHeight="1" x14ac:dyDescent="0.3">
      <c r="A10" s="2" t="s">
        <v>30</v>
      </c>
      <c r="B10" s="2">
        <v>2011</v>
      </c>
      <c r="C10" s="2">
        <v>205204</v>
      </c>
      <c r="D10" s="2" t="s">
        <v>13</v>
      </c>
      <c r="E10" s="2" t="s">
        <v>9</v>
      </c>
      <c r="F10" s="2" t="s">
        <v>15</v>
      </c>
      <c r="G10" s="2" t="s">
        <v>31</v>
      </c>
      <c r="H10" t="str">
        <f t="shared" si="2"/>
        <v>BMW</v>
      </c>
      <c r="I10" t="str">
        <f>_xlfn.XLOOKUP(H10,'Manufacturing country'!A:A,'Manufacturing country'!B:B,"Not Found")</f>
        <v>Germany</v>
      </c>
      <c r="J10" s="5">
        <f t="shared" si="3"/>
        <v>13241</v>
      </c>
      <c r="K10" t="str">
        <f t="shared" si="0"/>
        <v>2</v>
      </c>
      <c r="L10" t="str">
        <f t="shared" si="1"/>
        <v>Red</v>
      </c>
    </row>
    <row r="11" spans="1:12" ht="14.25" customHeight="1" x14ac:dyDescent="0.3">
      <c r="A11" s="2" t="s">
        <v>17</v>
      </c>
      <c r="B11" s="2">
        <v>2014</v>
      </c>
      <c r="C11" s="2">
        <v>152985</v>
      </c>
      <c r="D11" s="2" t="s">
        <v>18</v>
      </c>
      <c r="E11" s="2" t="s">
        <v>9</v>
      </c>
      <c r="F11" s="2" t="s">
        <v>15</v>
      </c>
      <c r="G11" s="2" t="s">
        <v>32</v>
      </c>
      <c r="H11" t="str">
        <f t="shared" si="2"/>
        <v>Mercedes</v>
      </c>
      <c r="I11" t="str">
        <f>_xlfn.XLOOKUP(H11,'Manufacturing country'!A:A,'Manufacturing country'!B:B,"Not Found")</f>
        <v>Germany</v>
      </c>
      <c r="J11" s="5">
        <f t="shared" si="3"/>
        <v>49344</v>
      </c>
      <c r="K11" t="str">
        <f t="shared" si="0"/>
        <v>2</v>
      </c>
      <c r="L11" t="str">
        <f t="shared" si="1"/>
        <v>Black</v>
      </c>
    </row>
    <row r="12" spans="1:12" ht="14.25" customHeight="1" x14ac:dyDescent="0.3">
      <c r="A12" s="2" t="s">
        <v>33</v>
      </c>
      <c r="B12" s="2">
        <v>2018</v>
      </c>
      <c r="C12" s="2">
        <v>76429</v>
      </c>
      <c r="D12" s="2" t="s">
        <v>34</v>
      </c>
      <c r="E12" s="2" t="s">
        <v>9</v>
      </c>
      <c r="F12" s="2" t="s">
        <v>10</v>
      </c>
      <c r="G12" s="2" t="s">
        <v>35</v>
      </c>
      <c r="H12" t="str">
        <f t="shared" si="2"/>
        <v>Tesla</v>
      </c>
      <c r="I12" t="str">
        <f>_xlfn.XLOOKUP(H12,'Manufacturing country'!A:A,'Manufacturing country'!B:B,"Not Found")</f>
        <v>USA</v>
      </c>
      <c r="J12" s="5">
        <f t="shared" si="3"/>
        <v>52432</v>
      </c>
      <c r="K12" t="str">
        <f t="shared" si="0"/>
        <v>1</v>
      </c>
      <c r="L12" t="str">
        <f t="shared" si="1"/>
        <v>Yellow</v>
      </c>
    </row>
    <row r="13" spans="1:12" ht="14.25" customHeight="1" x14ac:dyDescent="0.3">
      <c r="A13" s="2" t="s">
        <v>36</v>
      </c>
      <c r="B13" s="2">
        <v>2013</v>
      </c>
      <c r="C13" s="2">
        <v>254028</v>
      </c>
      <c r="D13" s="2" t="s">
        <v>37</v>
      </c>
      <c r="E13" s="2" t="s">
        <v>14</v>
      </c>
      <c r="F13" s="2" t="s">
        <v>15</v>
      </c>
      <c r="G13" s="2" t="s">
        <v>38</v>
      </c>
      <c r="H13" t="str">
        <f t="shared" si="2"/>
        <v>Volvo</v>
      </c>
      <c r="I13" t="str">
        <f>_xlfn.XLOOKUP(H13,'Manufacturing country'!A:A,'Manufacturing country'!B:B,"Not Found")</f>
        <v>Sweden</v>
      </c>
      <c r="J13" s="5">
        <f t="shared" si="3"/>
        <v>17452</v>
      </c>
      <c r="K13" t="str">
        <f t="shared" si="0"/>
        <v>2</v>
      </c>
      <c r="L13" t="str">
        <f t="shared" si="1"/>
        <v>Black</v>
      </c>
    </row>
    <row r="14" spans="1:12" ht="14.25" customHeight="1" x14ac:dyDescent="0.3">
      <c r="A14" s="2" t="s">
        <v>39</v>
      </c>
      <c r="B14" s="2">
        <v>2014</v>
      </c>
      <c r="C14" s="2">
        <v>45832</v>
      </c>
      <c r="D14" s="2" t="s">
        <v>8</v>
      </c>
      <c r="E14" s="2" t="s">
        <v>14</v>
      </c>
      <c r="F14" s="2" t="s">
        <v>10</v>
      </c>
      <c r="G14" s="2" t="s">
        <v>40</v>
      </c>
      <c r="H14" t="str">
        <f t="shared" si="2"/>
        <v>Audi</v>
      </c>
      <c r="I14" t="str">
        <f>_xlfn.XLOOKUP(H14,'Manufacturing country'!A:A,'Manufacturing country'!B:B,"Not Found")</f>
        <v>Germany</v>
      </c>
      <c r="J14" s="5">
        <f t="shared" si="3"/>
        <v>23250</v>
      </c>
      <c r="K14" t="str">
        <f t="shared" si="0"/>
        <v>1</v>
      </c>
      <c r="L14" t="str">
        <f t="shared" si="1"/>
        <v>White</v>
      </c>
    </row>
    <row r="15" spans="1:12" ht="14.25" customHeight="1" x14ac:dyDescent="0.3">
      <c r="A15" s="2" t="s">
        <v>41</v>
      </c>
      <c r="B15" s="2">
        <v>2018</v>
      </c>
      <c r="C15" s="2">
        <v>67591</v>
      </c>
      <c r="D15" s="2" t="s">
        <v>26</v>
      </c>
      <c r="E15" s="2" t="s">
        <v>9</v>
      </c>
      <c r="F15" s="2" t="s">
        <v>15</v>
      </c>
      <c r="G15" s="2" t="s">
        <v>42</v>
      </c>
      <c r="H15" t="str">
        <f t="shared" si="2"/>
        <v>Cadillac</v>
      </c>
      <c r="I15" t="str">
        <f>_xlfn.XLOOKUP(H15,'Manufacturing country'!A:A,'Manufacturing country'!B:B,"Not Found")</f>
        <v>USA</v>
      </c>
      <c r="J15" s="5">
        <f t="shared" si="3"/>
        <v>32420</v>
      </c>
      <c r="K15" t="str">
        <f t="shared" si="0"/>
        <v>2</v>
      </c>
      <c r="L15" t="str">
        <f t="shared" si="1"/>
        <v>Blue</v>
      </c>
    </row>
    <row r="16" spans="1:12" ht="14.25" customHeight="1" x14ac:dyDescent="0.3">
      <c r="A16" s="2" t="s">
        <v>43</v>
      </c>
      <c r="B16" s="2">
        <v>2013</v>
      </c>
      <c r="C16" s="2">
        <v>85320</v>
      </c>
      <c r="D16" s="2" t="s">
        <v>8</v>
      </c>
      <c r="E16" s="2" t="s">
        <v>9</v>
      </c>
      <c r="F16" s="2" t="s">
        <v>15</v>
      </c>
      <c r="G16" s="2" t="s">
        <v>44</v>
      </c>
      <c r="H16" t="str">
        <f t="shared" si="2"/>
        <v>Jaguar</v>
      </c>
      <c r="I16" t="str">
        <f>_xlfn.XLOOKUP(H16,'Manufacturing country'!A:A,'Manufacturing country'!B:B,"Not Found")</f>
        <v>UK</v>
      </c>
      <c r="J16" s="5">
        <f t="shared" si="3"/>
        <v>18454</v>
      </c>
      <c r="K16" t="str">
        <f t="shared" si="0"/>
        <v>2</v>
      </c>
      <c r="L16" t="str">
        <f t="shared" si="1"/>
        <v>White</v>
      </c>
    </row>
    <row r="17" spans="1:12" ht="14.25" customHeight="1" x14ac:dyDescent="0.3">
      <c r="A17" s="2" t="s">
        <v>24</v>
      </c>
      <c r="B17" s="2">
        <v>2016</v>
      </c>
      <c r="C17" s="2">
        <v>5000</v>
      </c>
      <c r="D17" s="2" t="s">
        <v>8</v>
      </c>
      <c r="E17" s="2" t="s">
        <v>9</v>
      </c>
      <c r="F17" s="2" t="s">
        <v>10</v>
      </c>
      <c r="G17" s="2" t="s">
        <v>45</v>
      </c>
      <c r="H17" t="str">
        <f t="shared" si="2"/>
        <v>Lexus</v>
      </c>
      <c r="I17" t="str">
        <f>_xlfn.XLOOKUP(H17,'Manufacturing country'!A:A,'Manufacturing country'!B:B,"Not Found")</f>
        <v>Japan</v>
      </c>
      <c r="J17" s="5">
        <f t="shared" si="3"/>
        <v>41000</v>
      </c>
      <c r="K17" t="str">
        <f t="shared" si="0"/>
        <v>1</v>
      </c>
      <c r="L17" t="str">
        <f t="shared" si="1"/>
        <v>White</v>
      </c>
    </row>
    <row r="18" spans="1:12" ht="14.25" customHeight="1" x14ac:dyDescent="0.3">
      <c r="A18" s="2" t="s">
        <v>46</v>
      </c>
      <c r="B18" s="2">
        <v>2017</v>
      </c>
      <c r="C18" s="2">
        <v>92450</v>
      </c>
      <c r="D18" s="2" t="s">
        <v>13</v>
      </c>
      <c r="E18" s="2" t="s">
        <v>14</v>
      </c>
      <c r="F18" s="2" t="s">
        <v>15</v>
      </c>
      <c r="G18" s="2" t="s">
        <v>47</v>
      </c>
      <c r="H18" t="str">
        <f t="shared" si="2"/>
        <v>BMW</v>
      </c>
      <c r="I18" t="str">
        <f>_xlfn.XLOOKUP(H18,'Manufacturing country'!A:A,'Manufacturing country'!B:B,"Not Found")</f>
        <v>Germany</v>
      </c>
      <c r="J18" s="5">
        <f t="shared" si="3"/>
        <v>35240</v>
      </c>
      <c r="K18" t="str">
        <f t="shared" si="0"/>
        <v>2</v>
      </c>
      <c r="L18" t="str">
        <f t="shared" si="1"/>
        <v>Red</v>
      </c>
    </row>
    <row r="19" spans="1:12" ht="14.25" customHeight="1" x14ac:dyDescent="0.3">
      <c r="A19" s="2" t="s">
        <v>24</v>
      </c>
      <c r="B19" s="2">
        <v>2015</v>
      </c>
      <c r="C19" s="2">
        <v>130000</v>
      </c>
      <c r="D19" s="2" t="s">
        <v>18</v>
      </c>
      <c r="E19" s="2" t="s">
        <v>9</v>
      </c>
      <c r="F19" s="2" t="s">
        <v>48</v>
      </c>
      <c r="G19" s="2" t="s">
        <v>49</v>
      </c>
      <c r="H19" t="str">
        <f t="shared" si="2"/>
        <v>Lexus</v>
      </c>
      <c r="I19" t="str">
        <f>_xlfn.XLOOKUP(H19,'Manufacturing country'!A:A,'Manufacturing country'!B:B,"Not Found")</f>
        <v>Japan</v>
      </c>
      <c r="J19" s="5">
        <f t="shared" si="3"/>
        <v>22520</v>
      </c>
      <c r="K19" t="str">
        <f t="shared" si="0"/>
        <v>4</v>
      </c>
      <c r="L19" t="str">
        <f t="shared" si="1"/>
        <v>Black</v>
      </c>
    </row>
    <row r="20" spans="1:12" ht="14.25" customHeight="1" x14ac:dyDescent="0.3"/>
    <row r="21" spans="1:12" ht="14.25" customHeight="1" x14ac:dyDescent="0.3"/>
    <row r="22" spans="1:12" ht="14.25" customHeight="1" x14ac:dyDescent="0.3"/>
    <row r="23" spans="1:12" ht="14.25" customHeight="1" x14ac:dyDescent="0.3"/>
    <row r="24" spans="1:12" ht="14.25" customHeight="1" x14ac:dyDescent="0.3"/>
    <row r="25" spans="1:12" ht="14.25" customHeight="1" x14ac:dyDescent="0.3"/>
    <row r="26" spans="1:12" ht="14.25" customHeight="1" x14ac:dyDescent="0.3"/>
    <row r="27" spans="1:12" ht="14.25" customHeight="1" x14ac:dyDescent="0.3"/>
    <row r="28" spans="1:12" ht="14.25" customHeight="1" x14ac:dyDescent="0.3"/>
    <row r="29" spans="1:12" ht="14.25" customHeight="1" x14ac:dyDescent="0.3"/>
    <row r="30" spans="1:12" ht="14.25" customHeight="1" x14ac:dyDescent="0.3"/>
    <row r="31" spans="1:12" ht="14.25" customHeight="1" x14ac:dyDescent="0.3"/>
    <row r="32" spans="1: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81F5D-8D4E-451E-BEF0-742BEF974590}">
  <sheetPr codeName="Sheet4"/>
  <dimension ref="A3:C38"/>
  <sheetViews>
    <sheetView topLeftCell="A10" workbookViewId="0">
      <selection activeCell="B38" sqref="B38"/>
    </sheetView>
  </sheetViews>
  <sheetFormatPr defaultRowHeight="14.4" x14ac:dyDescent="0.3"/>
  <cols>
    <col min="1" max="1" width="12.5546875" bestFit="1" customWidth="1"/>
    <col min="2" max="2" width="15.6640625" bestFit="1" customWidth="1"/>
    <col min="3" max="3" width="17.88671875" bestFit="1" customWidth="1"/>
  </cols>
  <sheetData>
    <row r="3" spans="1:2" x14ac:dyDescent="0.3">
      <c r="A3" s="8" t="s">
        <v>67</v>
      </c>
      <c r="B3" t="s">
        <v>69</v>
      </c>
    </row>
    <row r="4" spans="1:2" x14ac:dyDescent="0.3">
      <c r="A4" s="9" t="s">
        <v>52</v>
      </c>
      <c r="B4">
        <v>7</v>
      </c>
    </row>
    <row r="5" spans="1:2" x14ac:dyDescent="0.3">
      <c r="A5" s="9" t="s">
        <v>63</v>
      </c>
      <c r="B5">
        <v>3</v>
      </c>
    </row>
    <row r="6" spans="1:2" x14ac:dyDescent="0.3">
      <c r="A6" s="9" t="s">
        <v>59</v>
      </c>
      <c r="B6">
        <v>2</v>
      </c>
    </row>
    <row r="7" spans="1:2" x14ac:dyDescent="0.3">
      <c r="A7" s="9" t="s">
        <v>54</v>
      </c>
      <c r="B7">
        <v>2</v>
      </c>
    </row>
    <row r="8" spans="1:2" x14ac:dyDescent="0.3">
      <c r="A8" s="9" t="s">
        <v>62</v>
      </c>
      <c r="B8">
        <v>1</v>
      </c>
    </row>
    <row r="9" spans="1:2" x14ac:dyDescent="0.3">
      <c r="A9" s="9" t="s">
        <v>55</v>
      </c>
      <c r="B9">
        <v>1</v>
      </c>
    </row>
    <row r="10" spans="1:2" x14ac:dyDescent="0.3">
      <c r="A10" s="9" t="s">
        <v>60</v>
      </c>
      <c r="B10">
        <v>1</v>
      </c>
    </row>
    <row r="11" spans="1:2" x14ac:dyDescent="0.3">
      <c r="A11" s="9" t="s">
        <v>57</v>
      </c>
      <c r="B11">
        <v>1</v>
      </c>
    </row>
    <row r="12" spans="1:2" x14ac:dyDescent="0.3">
      <c r="A12" s="9" t="s">
        <v>68</v>
      </c>
      <c r="B12">
        <v>18</v>
      </c>
    </row>
    <row r="14" spans="1:2" x14ac:dyDescent="0.3">
      <c r="A14" s="8" t="s">
        <v>67</v>
      </c>
      <c r="B14" t="s">
        <v>70</v>
      </c>
    </row>
    <row r="15" spans="1:2" x14ac:dyDescent="0.3">
      <c r="A15" s="9" t="s">
        <v>53</v>
      </c>
      <c r="B15">
        <v>11</v>
      </c>
    </row>
    <row r="16" spans="1:2" x14ac:dyDescent="0.3">
      <c r="A16" s="9" t="s">
        <v>64</v>
      </c>
      <c r="B16">
        <v>3</v>
      </c>
    </row>
    <row r="17" spans="1:3" x14ac:dyDescent="0.3">
      <c r="A17" s="9" t="s">
        <v>56</v>
      </c>
      <c r="B17">
        <v>2</v>
      </c>
    </row>
    <row r="18" spans="1:3" x14ac:dyDescent="0.3">
      <c r="A18" s="9" t="s">
        <v>58</v>
      </c>
      <c r="B18">
        <v>1</v>
      </c>
    </row>
    <row r="19" spans="1:3" x14ac:dyDescent="0.3">
      <c r="A19" s="9" t="s">
        <v>61</v>
      </c>
      <c r="B19">
        <v>1</v>
      </c>
    </row>
    <row r="20" spans="1:3" x14ac:dyDescent="0.3">
      <c r="A20" s="9" t="s">
        <v>68</v>
      </c>
      <c r="B20">
        <v>18</v>
      </c>
    </row>
    <row r="22" spans="1:3" x14ac:dyDescent="0.3">
      <c r="A22" s="8" t="s">
        <v>67</v>
      </c>
      <c r="B22" t="s">
        <v>78</v>
      </c>
      <c r="C22" s="13"/>
    </row>
    <row r="23" spans="1:3" x14ac:dyDescent="0.3">
      <c r="A23" s="9" t="s">
        <v>34</v>
      </c>
      <c r="B23">
        <v>1</v>
      </c>
    </row>
    <row r="24" spans="1:3" x14ac:dyDescent="0.3">
      <c r="A24" s="9" t="s">
        <v>26</v>
      </c>
      <c r="B24">
        <v>3</v>
      </c>
    </row>
    <row r="25" spans="1:3" x14ac:dyDescent="0.3">
      <c r="A25" s="9" t="s">
        <v>13</v>
      </c>
      <c r="B25">
        <v>4</v>
      </c>
    </row>
    <row r="26" spans="1:3" x14ac:dyDescent="0.3">
      <c r="A26" s="9" t="s">
        <v>18</v>
      </c>
      <c r="B26">
        <v>4</v>
      </c>
    </row>
    <row r="27" spans="1:3" x14ac:dyDescent="0.3">
      <c r="A27" s="9" t="s">
        <v>8</v>
      </c>
      <c r="B27">
        <v>6</v>
      </c>
    </row>
    <row r="28" spans="1:3" x14ac:dyDescent="0.3">
      <c r="A28" s="9" t="s">
        <v>68</v>
      </c>
      <c r="B28">
        <v>18</v>
      </c>
    </row>
    <row r="32" spans="1:3" x14ac:dyDescent="0.3">
      <c r="A32" s="8" t="s">
        <v>67</v>
      </c>
      <c r="B32" t="s">
        <v>75</v>
      </c>
    </row>
    <row r="33" spans="1:2" x14ac:dyDescent="0.3">
      <c r="A33" s="9" t="s">
        <v>71</v>
      </c>
      <c r="B33" s="5">
        <v>36513.666666666664</v>
      </c>
    </row>
    <row r="34" spans="1:2" x14ac:dyDescent="0.3">
      <c r="A34" s="9" t="s">
        <v>72</v>
      </c>
      <c r="B34" s="5">
        <v>30718</v>
      </c>
    </row>
    <row r="35" spans="1:2" x14ac:dyDescent="0.3">
      <c r="A35" s="9" t="s">
        <v>73</v>
      </c>
      <c r="B35" s="5">
        <v>63746.333333333336</v>
      </c>
    </row>
    <row r="36" spans="1:2" x14ac:dyDescent="0.3">
      <c r="A36" s="9" t="s">
        <v>74</v>
      </c>
      <c r="B36" s="5">
        <v>22520</v>
      </c>
    </row>
    <row r="37" spans="1:2" x14ac:dyDescent="0.3">
      <c r="A37" s="9" t="s">
        <v>68</v>
      </c>
      <c r="B37" s="5">
        <v>37699.166666666664</v>
      </c>
    </row>
    <row r="38" spans="1:2" x14ac:dyDescent="0.3">
      <c r="A38" s="11" t="s">
        <v>76</v>
      </c>
      <c r="B38" s="12">
        <f>GETPIVOTDATA("Price_Clean",Pivot_Table!$A$32)</f>
        <v>37699.166666666664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0A6C-BF7E-4491-8E10-CF06E22CF793}">
  <sheetPr codeName="Sheet6"/>
  <dimension ref="A1"/>
  <sheetViews>
    <sheetView showGridLines="0" zoomScale="40" zoomScaleNormal="40" workbookViewId="0">
      <selection activeCell="AT19" sqref="AT19"/>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Manufacturing country</vt:lpstr>
      <vt:lpstr>Combined_Data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Judith Pajuay Atanas</dc:creator>
  <cp:lastModifiedBy>Gerald Gumahad</cp:lastModifiedBy>
  <dcterms:created xsi:type="dcterms:W3CDTF">2022-07-27T18:21:06Z</dcterms:created>
  <dcterms:modified xsi:type="dcterms:W3CDTF">2026-05-17T08:01:33Z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2026-05-09T00:29:15Z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4d1b83f4-00b8-4399-9aeb-8a4c0755e9f2</vt:lpwstr>
  </property>
  <property fmtid="{D5CDD505-2E9C-101B-9397-08002B2CF9AE}" pid="7" name="MSIP_Label_defa4170-0d19-0005-0004-bc88714345d2_ActionId">
    <vt:lpwstr>6e1a192d-43cc-4115-a5cd-a53f80d800d2</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