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ral\Documents\Data Analytics\"/>
    </mc:Choice>
  </mc:AlternateContent>
  <xr:revisionPtr revIDLastSave="0" documentId="13_ncr:1_{D40D9E36-3782-4FCE-9D30-65A1A84B13AA}" xr6:coauthVersionLast="47" xr6:coauthVersionMax="47" xr10:uidLastSave="{00000000-0000-0000-0000-000000000000}"/>
  <bookViews>
    <workbookView xWindow="-108" yWindow="-108" windowWidth="23256" windowHeight="12456" activeTab="3" xr2:uid="{F3A3B4D0-962B-44DF-B1C1-225211961A22}"/>
  </bookViews>
  <sheets>
    <sheet name="Dashboard" sheetId="5" r:id="rId1"/>
    <sheet name="Inventory Table" sheetId="1" r:id="rId2"/>
    <sheet name="Restocking Table" sheetId="2" r:id="rId3"/>
    <sheet name="Restock Entry" sheetId="3" r:id="rId4"/>
  </sheets>
  <definedNames>
    <definedName name="Slicer_Current_Stock">#N/A</definedName>
    <definedName name="Slicer_Item_Name">#N/A</definedName>
    <definedName name="Slicer_Statu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4" i="3" l="1"/>
  <c r="E5" i="3"/>
  <c r="E6" i="3"/>
  <c r="E7" i="3"/>
  <c r="D8" i="3"/>
  <c r="E8" i="3"/>
  <c r="E9" i="3"/>
  <c r="E10" i="3"/>
  <c r="E11" i="3"/>
  <c r="E3" i="3"/>
  <c r="I5" i="1"/>
  <c r="I6" i="1"/>
  <c r="I7" i="1"/>
  <c r="I8" i="1"/>
  <c r="I9" i="1"/>
  <c r="I10" i="1"/>
  <c r="I11" i="1"/>
  <c r="I12" i="1"/>
  <c r="I4" i="1"/>
  <c r="H5" i="1"/>
  <c r="K5" i="1" s="1"/>
  <c r="H6" i="1"/>
  <c r="K6" i="1" s="1"/>
  <c r="H7" i="1"/>
  <c r="K7" i="1" s="1"/>
  <c r="H8" i="1"/>
  <c r="K8" i="1" s="1"/>
  <c r="H9" i="1"/>
  <c r="K9" i="1" s="1"/>
  <c r="H10" i="1"/>
  <c r="K10" i="1" s="1"/>
  <c r="H11" i="1"/>
  <c r="K11" i="1" s="1"/>
  <c r="H12" i="1"/>
  <c r="K12" i="1" s="1"/>
  <c r="H4" i="1"/>
  <c r="K4" i="1" s="1"/>
  <c r="F5" i="1"/>
  <c r="Z5" i="1" s="1"/>
  <c r="F6" i="1"/>
  <c r="Z6" i="1" s="1"/>
  <c r="F7" i="1"/>
  <c r="Z7" i="1" s="1"/>
  <c r="F8" i="1"/>
  <c r="Z8" i="1" s="1"/>
  <c r="F9" i="1"/>
  <c r="Z9" i="1" s="1"/>
  <c r="F10" i="1"/>
  <c r="Z10" i="1" s="1"/>
  <c r="F11" i="1"/>
  <c r="Z11" i="1" s="1"/>
  <c r="F12" i="1"/>
  <c r="Z12" i="1" s="1"/>
  <c r="F4" i="1"/>
  <c r="Z4" i="1" s="1"/>
  <c r="D9" i="3" l="1"/>
  <c r="F9" i="3" s="1"/>
  <c r="D3" i="3"/>
  <c r="F3" i="3" s="1"/>
  <c r="D7" i="3"/>
  <c r="F7" i="3" s="1"/>
  <c r="D6" i="3"/>
  <c r="F6" i="3" s="1"/>
  <c r="D11" i="3"/>
  <c r="F11" i="3" s="1"/>
  <c r="D5" i="3"/>
  <c r="F5" i="3" s="1"/>
  <c r="D10" i="3"/>
  <c r="F10" i="3" s="1"/>
  <c r="D4" i="3"/>
  <c r="F4" i="3" s="1"/>
  <c r="F8" i="3"/>
</calcChain>
</file>

<file path=xl/sharedStrings.xml><?xml version="1.0" encoding="utf-8"?>
<sst xmlns="http://schemas.openxmlformats.org/spreadsheetml/2006/main" count="146" uniqueCount="64">
  <si>
    <t>Item Name </t>
  </si>
  <si>
    <t>CAS Number</t>
  </si>
  <si>
    <t>Grade/Concentration</t>
  </si>
  <si>
    <t>Current Stock</t>
  </si>
  <si>
    <t>Safety Stock</t>
  </si>
  <si>
    <t>Unit Cost ($)</t>
  </si>
  <si>
    <t>Total Value ($)</t>
  </si>
  <si>
    <t>Location</t>
  </si>
  <si>
    <t>Expiry Date</t>
  </si>
  <si>
    <t>Sodium Cyanide (NaCN)</t>
  </si>
  <si>
    <t>143-33-9</t>
  </si>
  <si>
    <t>98% Briquette</t>
  </si>
  <si>
    <t>kg</t>
  </si>
  <si>
    <t>Cyanide Store</t>
  </si>
  <si>
    <t>Lime (CaO)</t>
  </si>
  <si>
    <t>1305-78-8</t>
  </si>
  <si>
    <t>Technical Grade</t>
  </si>
  <si>
    <t>Chemical Shed</t>
  </si>
  <si>
    <t>N/A</t>
  </si>
  <si>
    <t>Activated Carbon</t>
  </si>
  <si>
    <t>7440-44-0</t>
  </si>
  <si>
    <t>6x12 Mesh (Coconut)</t>
  </si>
  <si>
    <t>Warehouse B</t>
  </si>
  <si>
    <t>Caustic Soda</t>
  </si>
  <si>
    <t>1310-73-2</t>
  </si>
  <si>
    <t>99% Flakes</t>
  </si>
  <si>
    <t>Hydrochloric Acid</t>
  </si>
  <si>
    <t>7647-01-0</t>
  </si>
  <si>
    <t>33% Solution</t>
  </si>
  <si>
    <t>Liters</t>
  </si>
  <si>
    <t>Acid Bay</t>
  </si>
  <si>
    <t>Zinc Powder</t>
  </si>
  <si>
    <t>7440-66-6</t>
  </si>
  <si>
    <t>Fine Grade</t>
  </si>
  <si>
    <t>Lab Store</t>
  </si>
  <si>
    <t>Lead Nitrate</t>
  </si>
  <si>
    <t>10099-74-8</t>
  </si>
  <si>
    <t>Eco-Friendly Lixiviant</t>
  </si>
  <si>
    <t>Proprietary</t>
  </si>
  <si>
    <t>Solid</t>
  </si>
  <si>
    <t>Ferrous Sulfate</t>
  </si>
  <si>
    <t>7720-78-7</t>
  </si>
  <si>
    <t>Gold Extraction Chemical Reagent Inventory</t>
  </si>
  <si>
    <t>Unit of Measurement</t>
  </si>
  <si>
    <t>Accumulated Stock</t>
  </si>
  <si>
    <t>Jan</t>
  </si>
  <si>
    <t>Feb</t>
  </si>
  <si>
    <t>Mar</t>
  </si>
  <si>
    <t>Apr</t>
  </si>
  <si>
    <t>May</t>
  </si>
  <si>
    <t>Jun</t>
  </si>
  <si>
    <t>Jul</t>
  </si>
  <si>
    <t>Aug</t>
  </si>
  <si>
    <t>Sep</t>
  </si>
  <si>
    <t>Oct</t>
  </si>
  <si>
    <t>Nov</t>
  </si>
  <si>
    <t>Dec</t>
  </si>
  <si>
    <t>Monthly Consumption</t>
  </si>
  <si>
    <t>Remarks</t>
  </si>
  <si>
    <t>Initial Stock</t>
  </si>
  <si>
    <t>Status</t>
  </si>
  <si>
    <t>Average Monthly Consumption</t>
  </si>
  <si>
    <t>Month</t>
  </si>
  <si>
    <t>Quantity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</si>
</sst>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2"/>
      <color rgb="FF001D35"/>
      <name val="Arial"/>
      <family val="2"/>
    </font>
    <font>
      <b/>
      <sz val="8"/>
      <color theme="1"/>
      <name val="Arial"/>
      <family val="2"/>
    </font>
    <font>
      <sz val="8"/>
      <color rgb="FF0A0A0A"/>
      <name val="Arial"/>
      <family val="2"/>
    </font>
    <font>
      <sz val="8"/>
      <color rgb="FF0A0A0A"/>
      <name val="Arial"/>
      <family val="2"/>
    </font>
    <font>
      <sz val="8"/>
      <name val="Aptos Narrow"/>
      <family val="2"/>
      <scheme val="minor"/>
    </font>
    <font>
      <sz val="11"/>
      <color rgb="FF000000"/>
      <name val="Aptos Narrow"/>
      <family val="2"/>
    </font>
    <font>
      <b/>
      <sz val="11"/>
      <color theme="0"/>
      <name val="Arial"/>
      <family val="2"/>
    </font>
    <font>
      <b/>
      <sz val="16"/>
      <color rgb="FF001D35"/>
      <name val="Arial"/>
      <family val="2"/>
    </font>
    <font>
      <b/>
      <sz val="9"/>
      <color rgb="FF001D35"/>
      <name val="Arial"/>
      <family val="2"/>
    </font>
  </fonts>
  <fills count="4">
    <fill>
      <patternFill patternType="none"/>
    </fill>
    <fill>
      <patternFill patternType="gray125"/>
    </fill>
    <fill>
      <patternFill patternType="solid">
        <fgColor theme="4"/>
        <bgColor indexed="64"/>
      </patternFill>
    </fill>
    <fill>
      <patternFill patternType="solid">
        <fgColor theme="3"/>
        <bgColor indexed="64"/>
      </patternFill>
    </fill>
  </fills>
  <borders count="11">
    <border>
      <left/>
      <right/>
      <top/>
      <bottom/>
      <diagonal/>
    </border>
    <border>
      <left/>
      <right/>
      <top/>
      <bottom style="medium">
        <color rgb="FFD2D2D2"/>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cellStyleXfs>
  <cellXfs count="27">
    <xf numFmtId="0" fontId="0" fillId="0" borderId="0" xfId="0"/>
    <xf numFmtId="0" fontId="3" fillId="0" borderId="1" xfId="0" applyFont="1" applyBorder="1" applyAlignment="1">
      <alignment horizontal="center" vertical="center" wrapText="1"/>
    </xf>
    <xf numFmtId="3" fontId="3" fillId="0" borderId="1" xfId="0" applyNumberFormat="1" applyFont="1" applyBorder="1" applyAlignment="1">
      <alignment horizontal="center" vertical="center" wrapText="1"/>
    </xf>
    <xf numFmtId="14" fontId="3"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0" xfId="0" applyFont="1" applyAlignment="1">
      <alignment vertical="center" wrapText="1"/>
    </xf>
    <xf numFmtId="0" fontId="3" fillId="0" borderId="0" xfId="0" applyFont="1" applyAlignment="1">
      <alignment horizontal="center" vertical="center" wrapText="1"/>
    </xf>
    <xf numFmtId="3" fontId="3" fillId="0" borderId="0" xfId="0" applyNumberFormat="1" applyFont="1" applyAlignment="1">
      <alignment horizontal="center" vertical="center" wrapText="1"/>
    </xf>
    <xf numFmtId="14" fontId="3" fillId="0" borderId="0" xfId="0" applyNumberFormat="1" applyFont="1" applyAlignment="1">
      <alignment horizontal="center" vertical="center"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 fillId="0" borderId="0" xfId="0" applyFont="1" applyAlignment="1">
      <alignment horizontal="center" vertical="center" wrapText="1"/>
    </xf>
    <xf numFmtId="0" fontId="2" fillId="2" borderId="0" xfId="0" applyFont="1" applyFill="1" applyAlignment="1">
      <alignment vertical="center" wrapText="1"/>
    </xf>
    <xf numFmtId="0" fontId="8" fillId="0" borderId="0" xfId="0" applyFont="1" applyAlignment="1">
      <alignment horizontal="center" vertical="center" wrapText="1"/>
    </xf>
    <xf numFmtId="0" fontId="7" fillId="3" borderId="0" xfId="0" applyFont="1" applyFill="1" applyAlignment="1">
      <alignment horizontal="center" vertical="center" wrapText="1"/>
    </xf>
    <xf numFmtId="0" fontId="1" fillId="0" borderId="0" xfId="0" applyFont="1" applyAlignment="1">
      <alignment horizontal="center" vertical="center" wrapText="1"/>
    </xf>
    <xf numFmtId="0" fontId="2" fillId="0" borderId="0" xfId="0" applyFont="1" applyAlignment="1">
      <alignment horizontal="center" vertical="center" wrapText="1"/>
    </xf>
    <xf numFmtId="0" fontId="2" fillId="0" borderId="1" xfId="0" applyFont="1" applyBorder="1" applyAlignment="1">
      <alignment horizontal="center" vertical="center" wrapText="1"/>
    </xf>
    <xf numFmtId="0" fontId="9" fillId="0" borderId="0" xfId="0" applyFont="1" applyAlignment="1">
      <alignment horizontal="center" vertical="center" wrapText="1"/>
    </xf>
  </cellXfs>
  <cellStyles count="1">
    <cellStyle name="Normal" xfId="0" builtinId="0"/>
  </cellStyles>
  <dxfs count="30">
    <dxf>
      <font>
        <b val="0"/>
        <i val="0"/>
        <strike val="0"/>
        <condense val="0"/>
        <extend val="0"/>
        <outline val="0"/>
        <shadow val="0"/>
        <u val="none"/>
        <vertAlign val="baseline"/>
        <sz val="8"/>
        <color rgb="FF0A0A0A"/>
        <name val="Arial"/>
        <family val="2"/>
        <scheme val="none"/>
      </font>
      <numFmt numFmtId="19" formatCode="m/d/yyyy"/>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numFmt numFmtId="19" formatCode="m/d/yyyy"/>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numFmt numFmtId="3" formatCode="#,##0"/>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numFmt numFmtId="3" formatCode="#,##0"/>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numFmt numFmtId="3" formatCode="#,##0"/>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numFmt numFmtId="3" formatCode="#,##0"/>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border diagonalUp="0" diagonalDown="0">
        <left/>
        <right/>
        <top/>
        <bottom style="medium">
          <color rgb="FFD2D2D2"/>
        </bottom>
        <vertical/>
        <horizontal/>
      </border>
    </dxf>
    <dxf>
      <font>
        <b val="0"/>
        <i val="0"/>
        <strike val="0"/>
        <condense val="0"/>
        <extend val="0"/>
        <outline val="0"/>
        <shadow val="0"/>
        <u val="none"/>
        <vertAlign val="baseline"/>
        <sz val="8"/>
        <color rgb="FF0A0A0A"/>
        <name val="Arial"/>
        <family val="2"/>
        <scheme val="none"/>
      </font>
      <alignment horizontal="general" vertical="center" textRotation="0" wrapText="1" indent="0" justifyLastLine="0" shrinkToFit="0" readingOrder="0"/>
      <border diagonalUp="0" diagonalDown="0">
        <left/>
        <right/>
        <top/>
        <bottom style="medium">
          <color rgb="FFD2D2D2"/>
        </bottom>
        <vertical/>
        <horizontal/>
      </border>
    </dxf>
    <dxf>
      <border outline="0">
        <bottom style="medium">
          <color rgb="FFD2D2D2"/>
        </bottom>
      </border>
    </dxf>
    <dxf>
      <font>
        <b val="0"/>
        <i val="0"/>
        <strike val="0"/>
        <condense val="0"/>
        <extend val="0"/>
        <outline val="0"/>
        <shadow val="0"/>
        <u val="none"/>
        <vertAlign val="baseline"/>
        <sz val="8"/>
        <color rgb="FF0A0A0A"/>
        <name val="Arial"/>
        <family val="2"/>
        <scheme val="none"/>
      </font>
      <alignment horizontal="center" vertical="center" textRotation="0" wrapText="1" indent="0" justifyLastLine="0" shrinkToFit="0" readingOrder="0"/>
    </dxf>
    <dxf>
      <font>
        <b/>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403860</xdr:colOff>
      <xdr:row>3</xdr:row>
      <xdr:rowOff>114300</xdr:rowOff>
    </xdr:from>
    <xdr:to>
      <xdr:col>6</xdr:col>
      <xdr:colOff>403860</xdr:colOff>
      <xdr:row>17</xdr:row>
      <xdr:rowOff>135255</xdr:rowOff>
    </xdr:to>
    <mc:AlternateContent xmlns:mc="http://schemas.openxmlformats.org/markup-compatibility/2006" xmlns:a14="http://schemas.microsoft.com/office/drawing/2010/main">
      <mc:Choice Requires="a14">
        <xdr:graphicFrame macro="">
          <xdr:nvGraphicFramePr>
            <xdr:cNvPr id="2" name="Item Name ">
              <a:extLst>
                <a:ext uri="{FF2B5EF4-FFF2-40B4-BE49-F238E27FC236}">
                  <a16:creationId xmlns:a16="http://schemas.microsoft.com/office/drawing/2014/main" id="{18E3979A-FC73-CB57-4541-4D3FDB5DD82F}"/>
                </a:ext>
              </a:extLst>
            </xdr:cNvPr>
            <xdr:cNvGraphicFramePr/>
          </xdr:nvGraphicFramePr>
          <xdr:xfrm>
            <a:off x="0" y="0"/>
            <a:ext cx="0" cy="0"/>
          </xdr:xfrm>
          <a:graphic>
            <a:graphicData uri="http://schemas.microsoft.com/office/drawing/2010/slicer">
              <sle:slicer xmlns:sle="http://schemas.microsoft.com/office/drawing/2010/slicer" name="Item Name "/>
            </a:graphicData>
          </a:graphic>
        </xdr:graphicFrame>
      </mc:Choice>
      <mc:Fallback xmlns="">
        <xdr:sp macro="" textlink="">
          <xdr:nvSpPr>
            <xdr:cNvPr id="0" name=""/>
            <xdr:cNvSpPr>
              <a:spLocks noTextEdit="1"/>
            </xdr:cNvSpPr>
          </xdr:nvSpPr>
          <xdr:spPr>
            <a:xfrm>
              <a:off x="403860" y="662940"/>
              <a:ext cx="1828800" cy="25812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441960</xdr:colOff>
      <xdr:row>3</xdr:row>
      <xdr:rowOff>121920</xdr:rowOff>
    </xdr:from>
    <xdr:to>
      <xdr:col>9</xdr:col>
      <xdr:colOff>441960</xdr:colOff>
      <xdr:row>17</xdr:row>
      <xdr:rowOff>142875</xdr:rowOff>
    </xdr:to>
    <mc:AlternateContent xmlns:mc="http://schemas.openxmlformats.org/markup-compatibility/2006" xmlns:a14="http://schemas.microsoft.com/office/drawing/2010/main">
      <mc:Choice Requires="a14">
        <xdr:graphicFrame macro="">
          <xdr:nvGraphicFramePr>
            <xdr:cNvPr id="3" name="Current Stock">
              <a:extLst>
                <a:ext uri="{FF2B5EF4-FFF2-40B4-BE49-F238E27FC236}">
                  <a16:creationId xmlns:a16="http://schemas.microsoft.com/office/drawing/2014/main" id="{FC087B8D-5078-1A17-BD7F-296433F38D8C}"/>
                </a:ext>
              </a:extLst>
            </xdr:cNvPr>
            <xdr:cNvGraphicFramePr/>
          </xdr:nvGraphicFramePr>
          <xdr:xfrm>
            <a:off x="0" y="0"/>
            <a:ext cx="0" cy="0"/>
          </xdr:xfrm>
          <a:graphic>
            <a:graphicData uri="http://schemas.microsoft.com/office/drawing/2010/slicer">
              <sle:slicer xmlns:sle="http://schemas.microsoft.com/office/drawing/2010/slicer" name="Current Stock"/>
            </a:graphicData>
          </a:graphic>
        </xdr:graphicFrame>
      </mc:Choice>
      <mc:Fallback xmlns="">
        <xdr:sp macro="" textlink="">
          <xdr:nvSpPr>
            <xdr:cNvPr id="0" name=""/>
            <xdr:cNvSpPr>
              <a:spLocks noTextEdit="1"/>
            </xdr:cNvSpPr>
          </xdr:nvSpPr>
          <xdr:spPr>
            <a:xfrm>
              <a:off x="2270760" y="670560"/>
              <a:ext cx="1828800" cy="25812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472440</xdr:colOff>
      <xdr:row>3</xdr:row>
      <xdr:rowOff>121920</xdr:rowOff>
    </xdr:from>
    <xdr:to>
      <xdr:col>12</xdr:col>
      <xdr:colOff>472440</xdr:colOff>
      <xdr:row>17</xdr:row>
      <xdr:rowOff>142875</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41B3CE30-2D37-E8AB-D5CC-F9B6A57240BE}"/>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130040" y="670560"/>
              <a:ext cx="1828800" cy="25812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396240</xdr:colOff>
      <xdr:row>0</xdr:row>
      <xdr:rowOff>68580</xdr:rowOff>
    </xdr:from>
    <xdr:to>
      <xdr:col>12</xdr:col>
      <xdr:colOff>464820</xdr:colOff>
      <xdr:row>3</xdr:row>
      <xdr:rowOff>68580</xdr:rowOff>
    </xdr:to>
    <xdr:sp macro="" textlink="">
      <xdr:nvSpPr>
        <xdr:cNvPr id="5" name="TextBox 4">
          <a:extLst>
            <a:ext uri="{FF2B5EF4-FFF2-40B4-BE49-F238E27FC236}">
              <a16:creationId xmlns:a16="http://schemas.microsoft.com/office/drawing/2014/main" id="{222B0785-DDE2-CEEE-6216-09E04C4482BC}"/>
            </a:ext>
          </a:extLst>
        </xdr:cNvPr>
        <xdr:cNvSpPr txBox="1"/>
      </xdr:nvSpPr>
      <xdr:spPr>
        <a:xfrm>
          <a:off x="396240" y="68580"/>
          <a:ext cx="5554980" cy="5486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2400" b="1">
              <a:latin typeface="Arial" panose="020B0604020202020204" pitchFamily="34" charset="0"/>
              <a:cs typeface="Arial" panose="020B0604020202020204" pitchFamily="34" charset="0"/>
            </a:rPr>
            <a:t>MONITORING DASHBOARD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xdr:colOff>
          <xdr:row>2</xdr:row>
          <xdr:rowOff>38100</xdr:rowOff>
        </xdr:from>
        <xdr:to>
          <xdr:col>9</xdr:col>
          <xdr:colOff>30480</xdr:colOff>
          <xdr:row>2</xdr:row>
          <xdr:rowOff>365760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Aptos Narrow"/>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rald Gumahad" refreshedDate="46135.149421643517" createdVersion="8" refreshedVersion="8" minRefreshableVersion="3" recordCount="9" xr:uid="{FCD04BE2-03C1-47D6-9EFC-E2F8F18F2C05}">
  <cacheSource type="worksheet">
    <worksheetSource name="Table3"/>
  </cacheSource>
  <cacheFields count="26">
    <cacheField name="Item Name " numFmtId="0">
      <sharedItems count="9">
        <s v="Sodium Cyanide (NaCN)"/>
        <s v="Lime (CaO)"/>
        <s v="Activated Carbon"/>
        <s v="Caustic Soda"/>
        <s v="Hydrochloric Acid"/>
        <s v="Zinc Powder"/>
        <s v="Lead Nitrate"/>
        <s v="Eco-Friendly Lixiviant"/>
        <s v="Ferrous Sulfate"/>
      </sharedItems>
    </cacheField>
    <cacheField name="CAS Number" numFmtId="0">
      <sharedItems/>
    </cacheField>
    <cacheField name="Grade/Concentration" numFmtId="0">
      <sharedItems/>
    </cacheField>
    <cacheField name="Unit of Measurement" numFmtId="0">
      <sharedItems/>
    </cacheField>
    <cacheField name="Initial Stock" numFmtId="0">
      <sharedItems containsSemiMixedTypes="0" containsString="0" containsNumber="1" containsInteger="1" minValue="50" maxValue="500"/>
    </cacheField>
    <cacheField name="Current Stock" numFmtId="3">
      <sharedItems containsSemiMixedTypes="0" containsString="0" containsNumber="1" minValue="-150" maxValue="590.6" count="20">
        <n v="236"/>
        <n v="50"/>
        <n v="141.9"/>
        <n v="127"/>
        <n v="170"/>
        <n v="590.6"/>
        <n v="145.19999999999999"/>
        <n v="-50"/>
        <n v="265"/>
        <n v="250" u="1"/>
        <n v="150" u="1"/>
        <n v="161" u="1"/>
        <n v="10" u="1"/>
        <n v="137.9" u="1"/>
        <n v="92" u="1"/>
        <n v="155" u="1"/>
        <n v="586.4" u="1"/>
        <n v="142.69999999999999" u="1"/>
        <n v="-150" u="1"/>
        <n v="195" u="1"/>
      </sharedItems>
    </cacheField>
    <cacheField name="Safety Stock" numFmtId="0">
      <sharedItems containsSemiMixedTypes="0" containsString="0" containsNumber="1" containsInteger="1" minValue="5" maxValue="300"/>
    </cacheField>
    <cacheField name="Accumulated Stock" numFmtId="3">
      <sharedItems containsSemiMixedTypes="0" containsString="0" containsNumber="1" containsInteger="1" minValue="150" maxValue="600"/>
    </cacheField>
    <cacheField name="Average Monthly Consumption" numFmtId="3">
      <sharedItems containsSemiMixedTypes="0" containsString="0" containsNumber="1" minValue="1.5999999999999999" maxValue="216.66666666666666"/>
    </cacheField>
    <cacheField name="Unit Cost ($)" numFmtId="0">
      <sharedItems containsSemiMixedTypes="0" containsString="0" containsNumber="1" minValue="0.15" maxValue="4.5"/>
    </cacheField>
    <cacheField name="Total Value ($)" numFmtId="3">
      <sharedItems containsSemiMixedTypes="0" containsString="0" containsNumber="1" containsInteger="1" minValue="60" maxValue="2400"/>
    </cacheField>
    <cacheField name="Jan" numFmtId="0">
      <sharedItems containsSemiMixedTypes="0" containsString="0" containsNumber="1" minValue="1.5" maxValue="210"/>
    </cacheField>
    <cacheField name="Feb" numFmtId="0">
      <sharedItems containsSemiMixedTypes="0" containsString="0" containsNumber="1" minValue="2.1" maxValue="260"/>
    </cacheField>
    <cacheField name="Mar" numFmtId="0">
      <sharedItems containsSemiMixedTypes="0" containsString="0" containsNumber="1" minValue="1.2" maxValue="180"/>
    </cacheField>
    <cacheField name="Apr" numFmtId="0">
      <sharedItems containsNonDate="0" containsString="0" containsBlank="1"/>
    </cacheField>
    <cacheField name="May" numFmtId="0">
      <sharedItems containsNonDate="0" containsString="0" containsBlank="1"/>
    </cacheField>
    <cacheField name="Jun" numFmtId="0">
      <sharedItems containsNonDate="0" containsString="0" containsBlank="1"/>
    </cacheField>
    <cacheField name="Jul" numFmtId="0">
      <sharedItems containsNonDate="0" containsString="0" containsBlank="1"/>
    </cacheField>
    <cacheField name="Aug" numFmtId="0">
      <sharedItems containsNonDate="0" containsString="0" containsBlank="1"/>
    </cacheField>
    <cacheField name="Sep" numFmtId="0">
      <sharedItems containsNonDate="0" containsString="0" containsBlank="1"/>
    </cacheField>
    <cacheField name="Oct" numFmtId="0">
      <sharedItems containsNonDate="0" containsString="0" containsBlank="1"/>
    </cacheField>
    <cacheField name="Nov" numFmtId="0">
      <sharedItems containsNonDate="0" containsString="0" containsBlank="1"/>
    </cacheField>
    <cacheField name="Dec" numFmtId="0">
      <sharedItems containsNonDate="0" containsString="0" containsBlank="1"/>
    </cacheField>
    <cacheField name="Location" numFmtId="0">
      <sharedItems/>
    </cacheField>
    <cacheField name="Expiry Date" numFmtId="0">
      <sharedItems containsDate="1" containsMixedTypes="1" minDate="2027-01-01T00:00:00" maxDate="2028-06-02T00:00:00"/>
    </cacheField>
    <cacheField name="Status" numFmtId="14">
      <sharedItems count="2">
        <s v="OK"/>
        <s v="REORDER"/>
      </sharedItems>
    </cacheField>
  </cacheFields>
  <extLst>
    <ext xmlns:x14="http://schemas.microsoft.com/office/spreadsheetml/2009/9/main" uri="{725AE2AE-9491-48be-B2B4-4EB974FC3084}">
      <x14:pivotCacheDefinition pivotCacheId="8775305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s v="143-33-9"/>
    <s v="98% Briquette"/>
    <s v="kg"/>
    <n v="300"/>
    <x v="0"/>
    <n v="100"/>
    <n v="400"/>
    <n v="54.666666666666664"/>
    <n v="2.5"/>
    <n v="1000"/>
    <n v="54"/>
    <n v="68"/>
    <n v="42"/>
    <m/>
    <m/>
    <m/>
    <m/>
    <m/>
    <m/>
    <m/>
    <m/>
    <m/>
    <s v="Cyanide Store"/>
    <d v="2027-01-01T00:00:00"/>
    <x v="0"/>
  </r>
  <r>
    <x v="1"/>
    <s v="1305-78-8"/>
    <s v="Technical Grade"/>
    <s v="kg"/>
    <n v="500"/>
    <x v="1"/>
    <n v="300"/>
    <n v="600"/>
    <n v="183.33333333333334"/>
    <n v="0.2"/>
    <n v="120"/>
    <n v="180"/>
    <n v="220"/>
    <n v="150"/>
    <m/>
    <m/>
    <m/>
    <m/>
    <m/>
    <m/>
    <m/>
    <m/>
    <m/>
    <s v="Chemical Shed"/>
    <s v="N/A"/>
    <x v="1"/>
  </r>
  <r>
    <x v="2"/>
    <s v="7440-44-0"/>
    <s v="6x12 Mesh (Coconut)"/>
    <s v="kg"/>
    <n v="50"/>
    <x v="2"/>
    <n v="10"/>
    <n v="150"/>
    <n v="2.6999999999999997"/>
    <n v="1.8"/>
    <n v="270"/>
    <n v="3.2"/>
    <n v="2.8"/>
    <n v="2.1"/>
    <m/>
    <m/>
    <m/>
    <m/>
    <m/>
    <m/>
    <m/>
    <m/>
    <m/>
    <s v="Warehouse B"/>
    <s v="N/A"/>
    <x v="0"/>
  </r>
  <r>
    <x v="3"/>
    <s v="1310-73-2"/>
    <s v="99% Flakes"/>
    <s v="kg"/>
    <n v="100"/>
    <x v="3"/>
    <n v="50"/>
    <n v="200"/>
    <n v="24.333333333333332"/>
    <n v="0.8"/>
    <n v="160"/>
    <n v="25"/>
    <n v="30"/>
    <n v="18"/>
    <m/>
    <m/>
    <m/>
    <m/>
    <m/>
    <m/>
    <m/>
    <m/>
    <m/>
    <s v="Chemical Shed"/>
    <d v="2028-06-01T00:00:00"/>
    <x v="0"/>
  </r>
  <r>
    <x v="4"/>
    <s v="7647-01-0"/>
    <s v="33% Solution"/>
    <s v="Liters"/>
    <n v="100"/>
    <x v="4"/>
    <n v="30"/>
    <n v="200"/>
    <n v="10"/>
    <n v="0.5"/>
    <n v="100"/>
    <n v="10"/>
    <n v="12"/>
    <n v="8"/>
    <m/>
    <m/>
    <m/>
    <m/>
    <m/>
    <m/>
    <m/>
    <m/>
    <m/>
    <s v="Acid Bay"/>
    <d v="2027-12-01T00:00:00"/>
    <x v="0"/>
  </r>
  <r>
    <x v="5"/>
    <s v="7440-66-6"/>
    <s v="Fine Grade"/>
    <s v="kg"/>
    <n v="500"/>
    <x v="5"/>
    <n v="200"/>
    <n v="600"/>
    <n v="3.1333333333333329"/>
    <n v="3.5"/>
    <n v="2100"/>
    <n v="3.1"/>
    <n v="2.5"/>
    <n v="3.8"/>
    <m/>
    <m/>
    <m/>
    <m/>
    <m/>
    <m/>
    <m/>
    <m/>
    <m/>
    <s v="Lab Store"/>
    <s v="N/A"/>
    <x v="0"/>
  </r>
  <r>
    <x v="6"/>
    <s v="10099-74-8"/>
    <s v="Technical Grade"/>
    <s v="kg"/>
    <n v="50"/>
    <x v="6"/>
    <n v="10"/>
    <n v="150"/>
    <n v="1.5999999999999999"/>
    <n v="4.5"/>
    <n v="675"/>
    <n v="1.5"/>
    <n v="2.1"/>
    <n v="1.2"/>
    <m/>
    <m/>
    <m/>
    <m/>
    <m/>
    <m/>
    <m/>
    <m/>
    <m/>
    <s v="Lab Store"/>
    <d v="2027-01-01T00:00:00"/>
    <x v="0"/>
  </r>
  <r>
    <x v="7"/>
    <s v="Proprietary"/>
    <s v="Solid"/>
    <s v="kg"/>
    <n v="500"/>
    <x v="7"/>
    <n v="5"/>
    <n v="600"/>
    <n v="216.66666666666666"/>
    <n v="4"/>
    <n v="2400"/>
    <n v="210"/>
    <n v="260"/>
    <n v="180"/>
    <m/>
    <m/>
    <m/>
    <m/>
    <m/>
    <m/>
    <m/>
    <m/>
    <m/>
    <s v="Chemical Shed"/>
    <d v="2028-01-01T00:00:00"/>
    <x v="1"/>
  </r>
  <r>
    <x v="8"/>
    <s v="7720-78-7"/>
    <s v="Technical Grade"/>
    <s v="kg"/>
    <n v="300"/>
    <x v="8"/>
    <n v="100"/>
    <n v="400"/>
    <n v="45"/>
    <n v="0.15"/>
    <n v="60"/>
    <n v="45"/>
    <n v="60"/>
    <n v="30"/>
    <m/>
    <m/>
    <m/>
    <m/>
    <m/>
    <m/>
    <m/>
    <m/>
    <m/>
    <s v="Chemical Shed"/>
    <d v="2028-01-02T00:0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271F07-D08F-4773-A785-DC64AA72040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26">
    <pivotField showAll="0">
      <items count="10">
        <item x="2"/>
        <item x="3"/>
        <item x="7"/>
        <item x="8"/>
        <item x="4"/>
        <item x="6"/>
        <item x="1"/>
        <item x="0"/>
        <item x="5"/>
        <item t="default"/>
      </items>
    </pivotField>
    <pivotField showAll="0"/>
    <pivotField showAll="0"/>
    <pivotField showAll="0"/>
    <pivotField showAll="0"/>
    <pivotField numFmtId="3" showAll="0">
      <items count="21">
        <item m="1" x="18"/>
        <item x="7"/>
        <item m="1" x="12"/>
        <item x="1"/>
        <item m="1" x="14"/>
        <item x="3"/>
        <item m="1" x="13"/>
        <item x="2"/>
        <item m="1" x="17"/>
        <item x="6"/>
        <item m="1" x="10"/>
        <item m="1" x="15"/>
        <item m="1" x="11"/>
        <item x="4"/>
        <item m="1" x="19"/>
        <item x="0"/>
        <item m="1" x="9"/>
        <item x="8"/>
        <item m="1" x="16"/>
        <item x="5"/>
        <item t="default"/>
      </items>
    </pivotField>
    <pivotField showAll="0"/>
    <pivotField numFmtId="3" showAll="0"/>
    <pivotField numFmtId="3"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h="1" x="0"/>
        <item x="1"/>
        <item t="default"/>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 xr10:uid="{A725EA0C-61C9-4A12-B4AD-E4D967CE7379}" sourceName="Item Name ">
  <pivotTables>
    <pivotTable tabId="5" name="PivotTable2"/>
  </pivotTables>
  <data>
    <tabular pivotCacheId="877530577">
      <items count="9">
        <i x="7" s="1"/>
        <i x="1" s="1"/>
        <i x="2" s="1" nd="1"/>
        <i x="3" s="1" nd="1"/>
        <i x="8" s="1" nd="1"/>
        <i x="4" s="1" nd="1"/>
        <i x="6" s="1" nd="1"/>
        <i x="0"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Stock" xr10:uid="{0033BFFF-3B7D-4008-805D-953ABF99A6C1}" sourceName="Current Stock">
  <pivotTables>
    <pivotTable tabId="5" name="PivotTable2"/>
  </pivotTables>
  <data>
    <tabular pivotCacheId="877530577">
      <items count="20">
        <i x="7" s="1"/>
        <i x="1" s="1"/>
        <i x="18" s="1" nd="1"/>
        <i x="12" s="1" nd="1"/>
        <i x="14" s="1" nd="1"/>
        <i x="3" s="1" nd="1"/>
        <i x="13" s="1" nd="1"/>
        <i x="2" s="1" nd="1"/>
        <i x="17" s="1" nd="1"/>
        <i x="6" s="1" nd="1"/>
        <i x="10" s="1" nd="1"/>
        <i x="15" s="1" nd="1"/>
        <i x="11" s="1" nd="1"/>
        <i x="4" s="1" nd="1"/>
        <i x="19" s="1" nd="1"/>
        <i x="0" s="1" nd="1"/>
        <i x="9" s="1" nd="1"/>
        <i x="8" s="1" nd="1"/>
        <i x="16"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1615737A-F8AC-4E61-BF37-60E5F12BE20D}" sourceName="Status">
  <pivotTables>
    <pivotTable tabId="5" name="PivotTable2"/>
  </pivotTables>
  <data>
    <tabular pivotCacheId="877530577">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Name " xr10:uid="{EE285446-76A6-4C7B-9532-AC7926B24B2E}" cache="Slicer_Item_Name" caption="Item Name " rowHeight="247650"/>
  <slicer name="Current Stock" xr10:uid="{F537A134-200F-4443-8AF6-DA56B8DBB49F}" cache="Slicer_Current_Stock" caption="Current Stock" rowHeight="247650"/>
  <slicer name="Status" xr10:uid="{A2F487CF-DF6C-4874-89BA-35D505220DE7}" cache="Slicer_Status" caption="Status"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AF5EF8-F595-4D5A-86E9-B1330F2BB52E}" name="Table3" displayName="Table3" ref="A3:Z12" totalsRowShown="0" headerRowDxfId="28" dataDxfId="27" tableBorderDxfId="26">
  <autoFilter ref="A3:Z12" xr:uid="{90AF5EF8-F595-4D5A-86E9-B1330F2BB52E}"/>
  <tableColumns count="26">
    <tableColumn id="1" xr3:uid="{777B5E4C-671A-4472-AC24-27814898D0BC}" name="Item Name " dataDxfId="25"/>
    <tableColumn id="2" xr3:uid="{2A2D4288-CCAE-4F23-BEED-01CDADE80BBF}" name="CAS Number" dataDxfId="24"/>
    <tableColumn id="3" xr3:uid="{F56BC0B6-F3F3-4FE8-83FF-C5C55D5DF8D0}" name="Grade/Concentration" dataDxfId="23"/>
    <tableColumn id="4" xr3:uid="{33A948BB-B10A-46F5-9950-7E49059AA611}" name="Unit of Measurement" dataDxfId="22"/>
    <tableColumn id="5" xr3:uid="{7418EACB-4F52-4C6C-9FBC-89FF006FC7C9}" name="Initial Stock" dataDxfId="21"/>
    <tableColumn id="6" xr3:uid="{06B76D1E-9C74-4EA0-8552-8CDE2DC9ADE0}" name="Current Stock" dataDxfId="20">
      <calculatedColumnFormula>$E4+SUM('Restocking Table'!E4:P4)-SUM(L4:W4)</calculatedColumnFormula>
    </tableColumn>
    <tableColumn id="7" xr3:uid="{D6F71D30-97B6-4113-AA31-72E53E9717A9}" name="Safety Stock" dataDxfId="19"/>
    <tableColumn id="8" xr3:uid="{06B3BB33-5EA7-4A1F-BFD4-E1CBE489A89E}" name="Accumulated Stock" dataDxfId="18">
      <calculatedColumnFormula>E4+SUM('Restocking Table'!E4:P4)</calculatedColumnFormula>
    </tableColumn>
    <tableColumn id="9" xr3:uid="{54D1B552-D03A-4D6F-84E3-06809EC3E63B}" name="Average Monthly Consumption" dataDxfId="17">
      <calculatedColumnFormula>AVERAGEIF(L4:W4,"&gt;0")</calculatedColumnFormula>
    </tableColumn>
    <tableColumn id="10" xr3:uid="{9752CC8C-381F-4A76-BD1A-AC77091C27EC}" name="Unit Cost ($)" dataDxfId="16"/>
    <tableColumn id="11" xr3:uid="{DA8E4ABA-C833-41E1-8B07-537BDD21CE34}" name="Total Value ($)" dataDxfId="15">
      <calculatedColumnFormula>H4*J4</calculatedColumnFormula>
    </tableColumn>
    <tableColumn id="12" xr3:uid="{CEC19E0C-A765-4913-A782-05E88F45D246}" name="Jan" dataDxfId="14"/>
    <tableColumn id="13" xr3:uid="{C92B7238-DB98-47C7-BBF3-AAD49DD606B7}" name="Feb" dataDxfId="13"/>
    <tableColumn id="14" xr3:uid="{F37B6D0D-8789-482C-BCF7-7501A3A98F4C}" name="Mar" dataDxfId="12"/>
    <tableColumn id="15" xr3:uid="{C8DA4314-DBEF-4053-8289-A52843673FFD}" name="Apr" dataDxfId="11"/>
    <tableColumn id="16" xr3:uid="{89B01A5B-60EE-416D-A0BA-B6F3417CDC2A}" name="May" dataDxfId="10"/>
    <tableColumn id="17" xr3:uid="{7A10178C-F32D-4F75-9756-FC3E2F992412}" name="Jun" dataDxfId="9"/>
    <tableColumn id="18" xr3:uid="{A9269D05-8437-44C7-A4A6-589D7DA6AB63}" name="Jul" dataDxfId="8"/>
    <tableColumn id="19" xr3:uid="{65517ACE-3F08-4193-8795-1590A8D623DA}" name="Aug" dataDxfId="7"/>
    <tableColumn id="20" xr3:uid="{25321866-A118-41BD-A41B-E73FAB5B7C44}" name="Sep" dataDxfId="6"/>
    <tableColumn id="21" xr3:uid="{64324D3D-552E-458F-9405-C556AC557B00}" name="Oct" dataDxfId="5"/>
    <tableColumn id="22" xr3:uid="{7BF366C0-A5FA-4E0D-B120-29268E246D5C}" name="Nov" dataDxfId="4"/>
    <tableColumn id="23" xr3:uid="{8BADD0FF-62E5-45F4-8389-80D1392BC008}" name="Dec" dataDxfId="3"/>
    <tableColumn id="24" xr3:uid="{D630B5A9-131F-4C93-A5D8-BA50AC1E8CEE}" name="Location" dataDxfId="2"/>
    <tableColumn id="25" xr3:uid="{1841EBE5-B26D-4C18-94DA-D3060548358F}" name="Expiry Date" dataDxfId="1"/>
    <tableColumn id="26" xr3:uid="{B9286C36-4A41-41C4-BB74-D112153BF181}" name="Status" dataDxfId="0">
      <calculatedColumnFormula>IF(F4&lt;=G4,"REORDER","OK")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D9862-6759-4F6D-B1E9-B3E7544D8AB8}">
  <sheetPr codeName="Sheet5"/>
  <dimension ref="A3:C20"/>
  <sheetViews>
    <sheetView topLeftCell="D1" workbookViewId="0">
      <selection activeCell="R13" sqref="R13"/>
    </sheetView>
  </sheetViews>
  <sheetFormatPr defaultRowHeight="14.4" x14ac:dyDescent="0.3"/>
  <cols>
    <col min="1" max="3" width="0" hidden="1" customWidth="1"/>
  </cols>
  <sheetData>
    <row r="3" spans="1:3" x14ac:dyDescent="0.3">
      <c r="A3" s="10"/>
      <c r="B3" s="11"/>
      <c r="C3" s="12"/>
    </row>
    <row r="4" spans="1:3" x14ac:dyDescent="0.3">
      <c r="A4" s="13"/>
      <c r="B4" s="14"/>
      <c r="C4" s="15"/>
    </row>
    <row r="5" spans="1:3" x14ac:dyDescent="0.3">
      <c r="A5" s="13"/>
      <c r="B5" s="14"/>
      <c r="C5" s="15"/>
    </row>
    <row r="6" spans="1:3" x14ac:dyDescent="0.3">
      <c r="A6" s="13"/>
      <c r="B6" s="14"/>
      <c r="C6" s="15"/>
    </row>
    <row r="7" spans="1:3" x14ac:dyDescent="0.3">
      <c r="A7" s="13"/>
      <c r="B7" s="14"/>
      <c r="C7" s="15"/>
    </row>
    <row r="8" spans="1:3" x14ac:dyDescent="0.3">
      <c r="A8" s="13"/>
      <c r="B8" s="14"/>
      <c r="C8" s="15"/>
    </row>
    <row r="9" spans="1:3" x14ac:dyDescent="0.3">
      <c r="A9" s="13"/>
      <c r="B9" s="14"/>
      <c r="C9" s="15"/>
    </row>
    <row r="10" spans="1:3" x14ac:dyDescent="0.3">
      <c r="A10" s="13"/>
      <c r="B10" s="14"/>
      <c r="C10" s="15"/>
    </row>
    <row r="11" spans="1:3" x14ac:dyDescent="0.3">
      <c r="A11" s="13"/>
      <c r="B11" s="14"/>
      <c r="C11" s="15"/>
    </row>
    <row r="12" spans="1:3" x14ac:dyDescent="0.3">
      <c r="A12" s="13"/>
      <c r="B12" s="14"/>
      <c r="C12" s="15"/>
    </row>
    <row r="13" spans="1:3" x14ac:dyDescent="0.3">
      <c r="A13" s="13"/>
      <c r="B13" s="14"/>
      <c r="C13" s="15"/>
    </row>
    <row r="14" spans="1:3" x14ac:dyDescent="0.3">
      <c r="A14" s="13"/>
      <c r="B14" s="14"/>
      <c r="C14" s="15"/>
    </row>
    <row r="15" spans="1:3" x14ac:dyDescent="0.3">
      <c r="A15" s="13"/>
      <c r="B15" s="14"/>
      <c r="C15" s="15"/>
    </row>
    <row r="16" spans="1:3" x14ac:dyDescent="0.3">
      <c r="A16" s="13"/>
      <c r="B16" s="14"/>
      <c r="C16" s="15"/>
    </row>
    <row r="17" spans="1:3" x14ac:dyDescent="0.3">
      <c r="A17" s="13"/>
      <c r="B17" s="14"/>
      <c r="C17" s="15"/>
    </row>
    <row r="18" spans="1:3" x14ac:dyDescent="0.3">
      <c r="A18" s="13"/>
      <c r="B18" s="14"/>
      <c r="C18" s="15"/>
    </row>
    <row r="19" spans="1:3" x14ac:dyDescent="0.3">
      <c r="A19" s="13"/>
      <c r="B19" s="14"/>
      <c r="C19" s="15"/>
    </row>
    <row r="20" spans="1:3" x14ac:dyDescent="0.3">
      <c r="A20" s="16"/>
      <c r="B20" s="17"/>
      <c r="C20" s="18"/>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97E8C-DF7C-4D26-857A-BB0653181A35}">
  <sheetPr codeName="Sheet1"/>
  <dimension ref="A1:Z12"/>
  <sheetViews>
    <sheetView workbookViewId="0">
      <selection activeCell="J18" sqref="J18"/>
    </sheetView>
  </sheetViews>
  <sheetFormatPr defaultRowHeight="14.4" x14ac:dyDescent="0.3"/>
  <cols>
    <col min="1" max="1" width="12.109375" customWidth="1"/>
    <col min="2" max="2" width="11.88671875" customWidth="1"/>
    <col min="3" max="3" width="17.5546875" customWidth="1"/>
    <col min="4" max="4" width="17.44140625" customWidth="1"/>
    <col min="5" max="5" width="11.21875" customWidth="1"/>
    <col min="6" max="6" width="12.44140625" customWidth="1"/>
    <col min="7" max="7" width="11.6640625" customWidth="1"/>
    <col min="8" max="8" width="16.44140625" customWidth="1"/>
    <col min="9" max="9" width="24.44140625" customWidth="1"/>
    <col min="10" max="10" width="11.21875" customWidth="1"/>
    <col min="11" max="11" width="13.109375" customWidth="1"/>
    <col min="24" max="24" width="11.44140625" customWidth="1"/>
    <col min="25" max="25" width="11" customWidth="1"/>
  </cols>
  <sheetData>
    <row r="1" spans="1:26" ht="21" x14ac:dyDescent="0.3">
      <c r="A1" s="21" t="s">
        <v>42</v>
      </c>
      <c r="B1" s="21"/>
      <c r="C1" s="21"/>
      <c r="D1" s="21"/>
      <c r="E1" s="21"/>
      <c r="F1" s="21"/>
      <c r="G1" s="21"/>
      <c r="H1" s="21"/>
      <c r="I1" s="21"/>
      <c r="J1" s="21"/>
      <c r="K1" s="21"/>
      <c r="L1" s="21"/>
      <c r="M1" s="21"/>
      <c r="N1" s="21"/>
      <c r="O1" s="21"/>
      <c r="P1" s="21"/>
      <c r="Q1" s="21"/>
      <c r="R1" s="21"/>
      <c r="S1" s="21"/>
      <c r="T1" s="21"/>
      <c r="U1" s="21"/>
      <c r="V1" s="21"/>
      <c r="W1" s="21"/>
      <c r="X1" s="21"/>
      <c r="Y1" s="21"/>
    </row>
    <row r="2" spans="1:26" ht="14.4" customHeight="1" x14ac:dyDescent="0.3">
      <c r="A2" s="20"/>
      <c r="B2" s="20"/>
      <c r="C2" s="20"/>
      <c r="D2" s="20"/>
      <c r="E2" s="20"/>
      <c r="F2" s="20"/>
      <c r="G2" s="20"/>
      <c r="H2" s="20"/>
      <c r="I2" s="20"/>
      <c r="J2" s="20"/>
      <c r="K2" s="20"/>
      <c r="L2" s="22" t="s">
        <v>57</v>
      </c>
      <c r="M2" s="22"/>
      <c r="N2" s="22"/>
      <c r="O2" s="22"/>
      <c r="P2" s="22"/>
      <c r="Q2" s="22"/>
      <c r="R2" s="22"/>
      <c r="S2" s="22"/>
      <c r="T2" s="22"/>
      <c r="U2" s="22"/>
      <c r="V2" s="22"/>
      <c r="W2" s="22"/>
      <c r="X2" s="20"/>
      <c r="Y2" s="20"/>
      <c r="Z2" s="20"/>
    </row>
    <row r="3" spans="1:26" ht="25.8" customHeight="1" x14ac:dyDescent="0.3">
      <c r="A3" s="19" t="s">
        <v>0</v>
      </c>
      <c r="B3" s="19" t="s">
        <v>1</v>
      </c>
      <c r="C3" s="19" t="s">
        <v>2</v>
      </c>
      <c r="D3" s="19" t="s">
        <v>43</v>
      </c>
      <c r="E3" s="19" t="s">
        <v>59</v>
      </c>
      <c r="F3" s="19" t="s">
        <v>3</v>
      </c>
      <c r="G3" s="19" t="s">
        <v>4</v>
      </c>
      <c r="H3" s="19" t="s">
        <v>44</v>
      </c>
      <c r="I3" s="19" t="s">
        <v>61</v>
      </c>
      <c r="J3" s="19" t="s">
        <v>5</v>
      </c>
      <c r="K3" s="19" t="s">
        <v>6</v>
      </c>
      <c r="L3" s="19" t="s">
        <v>45</v>
      </c>
      <c r="M3" s="19" t="s">
        <v>46</v>
      </c>
      <c r="N3" s="19" t="s">
        <v>47</v>
      </c>
      <c r="O3" s="19" t="s">
        <v>48</v>
      </c>
      <c r="P3" s="19" t="s">
        <v>49</v>
      </c>
      <c r="Q3" s="19" t="s">
        <v>50</v>
      </c>
      <c r="R3" s="19" t="s">
        <v>51</v>
      </c>
      <c r="S3" s="19" t="s">
        <v>52</v>
      </c>
      <c r="T3" s="19" t="s">
        <v>53</v>
      </c>
      <c r="U3" s="19" t="s">
        <v>54</v>
      </c>
      <c r="V3" s="19" t="s">
        <v>55</v>
      </c>
      <c r="W3" s="19" t="s">
        <v>56</v>
      </c>
      <c r="X3" s="19" t="s">
        <v>7</v>
      </c>
      <c r="Y3" s="19" t="s">
        <v>8</v>
      </c>
      <c r="Z3" s="19" t="s">
        <v>60</v>
      </c>
    </row>
    <row r="4" spans="1:26" ht="21" thickBot="1" x14ac:dyDescent="0.35">
      <c r="A4" s="5" t="s">
        <v>9</v>
      </c>
      <c r="B4" s="1" t="s">
        <v>10</v>
      </c>
      <c r="C4" s="1" t="s">
        <v>11</v>
      </c>
      <c r="D4" s="1" t="s">
        <v>12</v>
      </c>
      <c r="E4" s="2">
        <v>300</v>
      </c>
      <c r="F4" s="2">
        <f>$E4+SUM('Restocking Table'!E4:P4)-SUM(L4:W4)</f>
        <v>236</v>
      </c>
      <c r="G4" s="2">
        <v>100</v>
      </c>
      <c r="H4" s="2">
        <f>E4+SUM('Restocking Table'!E4:P4)</f>
        <v>400</v>
      </c>
      <c r="I4" s="2">
        <f>AVERAGEIF(L4:W4,"&gt;0")</f>
        <v>54.666666666666664</v>
      </c>
      <c r="J4" s="1">
        <v>2.5</v>
      </c>
      <c r="K4" s="2">
        <f>H4*J4</f>
        <v>1000</v>
      </c>
      <c r="L4" s="2">
        <v>54</v>
      </c>
      <c r="M4" s="2">
        <v>68</v>
      </c>
      <c r="N4" s="2">
        <v>42</v>
      </c>
      <c r="O4" s="2"/>
      <c r="P4" s="2"/>
      <c r="Q4" s="2"/>
      <c r="R4" s="2"/>
      <c r="S4" s="2"/>
      <c r="T4" s="2"/>
      <c r="U4" s="2"/>
      <c r="V4" s="2"/>
      <c r="W4" s="2"/>
      <c r="X4" s="1" t="s">
        <v>13</v>
      </c>
      <c r="Y4" s="3">
        <v>46388</v>
      </c>
      <c r="Z4" s="3" t="str">
        <f>IF(F4&lt;=G4,"REORDER","OK")</f>
        <v>OK</v>
      </c>
    </row>
    <row r="5" spans="1:26" ht="15" thickBot="1" x14ac:dyDescent="0.35">
      <c r="A5" s="5" t="s">
        <v>14</v>
      </c>
      <c r="B5" s="1" t="s">
        <v>15</v>
      </c>
      <c r="C5" s="1" t="s">
        <v>16</v>
      </c>
      <c r="D5" s="1" t="s">
        <v>12</v>
      </c>
      <c r="E5" s="2">
        <v>500</v>
      </c>
      <c r="F5" s="2">
        <f>$E5+SUM('Restocking Table'!E5:P5)-SUM(L5:W5)</f>
        <v>50</v>
      </c>
      <c r="G5" s="2">
        <v>300</v>
      </c>
      <c r="H5" s="2">
        <f>E5+SUM('Restocking Table'!E5:P5)</f>
        <v>600</v>
      </c>
      <c r="I5" s="2">
        <f t="shared" ref="I5:I12" si="0">AVERAGEIF(L5:W5,"&gt;0")</f>
        <v>183.33333333333334</v>
      </c>
      <c r="J5" s="1">
        <v>0.2</v>
      </c>
      <c r="K5" s="2">
        <f t="shared" ref="K5:K12" si="1">H5*J5</f>
        <v>120</v>
      </c>
      <c r="L5" s="2">
        <v>180</v>
      </c>
      <c r="M5" s="2">
        <v>220</v>
      </c>
      <c r="N5" s="2">
        <v>150</v>
      </c>
      <c r="O5" s="2"/>
      <c r="P5" s="2"/>
      <c r="Q5" s="2"/>
      <c r="R5" s="2"/>
      <c r="S5" s="2"/>
      <c r="T5" s="2"/>
      <c r="U5" s="2"/>
      <c r="V5" s="2"/>
      <c r="W5" s="2"/>
      <c r="X5" s="1" t="s">
        <v>17</v>
      </c>
      <c r="Y5" s="1" t="s">
        <v>18</v>
      </c>
      <c r="Z5" s="3" t="str">
        <f t="shared" ref="Z5:Z12" si="2">IF(F5&lt;=G5,"REORDER","OK")</f>
        <v>REORDER</v>
      </c>
    </row>
    <row r="6" spans="1:26" ht="26.4" customHeight="1" thickBot="1" x14ac:dyDescent="0.35">
      <c r="A6" s="5" t="s">
        <v>19</v>
      </c>
      <c r="B6" s="1" t="s">
        <v>20</v>
      </c>
      <c r="C6" s="1" t="s">
        <v>21</v>
      </c>
      <c r="D6" s="1" t="s">
        <v>12</v>
      </c>
      <c r="E6" s="2">
        <v>50</v>
      </c>
      <c r="F6" s="2">
        <f>$E6+SUM('Restocking Table'!E6:P6)-SUM(L6:W6)</f>
        <v>141.9</v>
      </c>
      <c r="G6" s="2">
        <v>10</v>
      </c>
      <c r="H6" s="2">
        <f>E6+SUM('Restocking Table'!E6:P6)</f>
        <v>150</v>
      </c>
      <c r="I6" s="2">
        <f t="shared" si="0"/>
        <v>2.6999999999999997</v>
      </c>
      <c r="J6" s="1">
        <v>1.8</v>
      </c>
      <c r="K6" s="2">
        <f t="shared" si="1"/>
        <v>270</v>
      </c>
      <c r="L6" s="2">
        <v>3.2</v>
      </c>
      <c r="M6" s="2">
        <v>2.8</v>
      </c>
      <c r="N6" s="2">
        <v>2.1</v>
      </c>
      <c r="O6" s="2"/>
      <c r="P6" s="2"/>
      <c r="Q6" s="2"/>
      <c r="R6" s="2"/>
      <c r="S6" s="2"/>
      <c r="T6" s="2"/>
      <c r="U6" s="2"/>
      <c r="V6" s="2"/>
      <c r="W6" s="2"/>
      <c r="X6" s="1" t="s">
        <v>22</v>
      </c>
      <c r="Y6" s="1" t="s">
        <v>18</v>
      </c>
      <c r="Z6" s="3" t="str">
        <f t="shared" si="2"/>
        <v>OK</v>
      </c>
    </row>
    <row r="7" spans="1:26" ht="15" thickBot="1" x14ac:dyDescent="0.35">
      <c r="A7" s="5" t="s">
        <v>23</v>
      </c>
      <c r="B7" s="1" t="s">
        <v>24</v>
      </c>
      <c r="C7" s="1" t="s">
        <v>25</v>
      </c>
      <c r="D7" s="1" t="s">
        <v>12</v>
      </c>
      <c r="E7" s="2">
        <v>100</v>
      </c>
      <c r="F7" s="2">
        <f>$E7+SUM('Restocking Table'!E7:P7)-SUM(L7:W7)</f>
        <v>127</v>
      </c>
      <c r="G7" s="2">
        <v>50</v>
      </c>
      <c r="H7" s="2">
        <f>E7+SUM('Restocking Table'!E7:P7)</f>
        <v>200</v>
      </c>
      <c r="I7" s="2">
        <f t="shared" si="0"/>
        <v>24.333333333333332</v>
      </c>
      <c r="J7" s="1">
        <v>0.8</v>
      </c>
      <c r="K7" s="2">
        <f t="shared" si="1"/>
        <v>160</v>
      </c>
      <c r="L7" s="2">
        <v>25</v>
      </c>
      <c r="M7" s="2">
        <v>30</v>
      </c>
      <c r="N7" s="2">
        <v>18</v>
      </c>
      <c r="O7" s="2"/>
      <c r="P7" s="2"/>
      <c r="Q7" s="2"/>
      <c r="R7" s="2"/>
      <c r="S7" s="2"/>
      <c r="T7" s="2"/>
      <c r="U7" s="2"/>
      <c r="V7" s="2"/>
      <c r="W7" s="2"/>
      <c r="X7" s="1" t="s">
        <v>17</v>
      </c>
      <c r="Y7" s="3">
        <v>46905</v>
      </c>
      <c r="Z7" s="3" t="str">
        <f t="shared" si="2"/>
        <v>OK</v>
      </c>
    </row>
    <row r="8" spans="1:26" ht="23.4" customHeight="1" thickBot="1" x14ac:dyDescent="0.35">
      <c r="A8" s="5" t="s">
        <v>26</v>
      </c>
      <c r="B8" s="1" t="s">
        <v>27</v>
      </c>
      <c r="C8" s="1" t="s">
        <v>28</v>
      </c>
      <c r="D8" s="1" t="s">
        <v>29</v>
      </c>
      <c r="E8" s="2">
        <v>100</v>
      </c>
      <c r="F8" s="2">
        <f>$E8+SUM('Restocking Table'!E8:P8)-SUM(L8:W8)</f>
        <v>170</v>
      </c>
      <c r="G8" s="1">
        <v>30</v>
      </c>
      <c r="H8" s="2">
        <f>E8+SUM('Restocking Table'!E8:P8)</f>
        <v>200</v>
      </c>
      <c r="I8" s="2">
        <f t="shared" si="0"/>
        <v>10</v>
      </c>
      <c r="J8" s="1">
        <v>0.5</v>
      </c>
      <c r="K8" s="2">
        <f t="shared" si="1"/>
        <v>100</v>
      </c>
      <c r="L8" s="1">
        <v>10</v>
      </c>
      <c r="M8" s="1">
        <v>12</v>
      </c>
      <c r="N8" s="1">
        <v>8</v>
      </c>
      <c r="O8" s="1"/>
      <c r="P8" s="1"/>
      <c r="Q8" s="1"/>
      <c r="R8" s="1"/>
      <c r="S8" s="1"/>
      <c r="T8" s="1"/>
      <c r="U8" s="1"/>
      <c r="V8" s="1"/>
      <c r="W8" s="1"/>
      <c r="X8" s="1" t="s">
        <v>30</v>
      </c>
      <c r="Y8" s="3">
        <v>46722</v>
      </c>
      <c r="Z8" s="3" t="str">
        <f t="shared" si="2"/>
        <v>OK</v>
      </c>
    </row>
    <row r="9" spans="1:26" ht="18.600000000000001" customHeight="1" thickBot="1" x14ac:dyDescent="0.35">
      <c r="A9" s="5" t="s">
        <v>31</v>
      </c>
      <c r="B9" s="1" t="s">
        <v>32</v>
      </c>
      <c r="C9" s="1" t="s">
        <v>33</v>
      </c>
      <c r="D9" s="1" t="s">
        <v>12</v>
      </c>
      <c r="E9" s="1">
        <v>500</v>
      </c>
      <c r="F9" s="2">
        <f>$E9+SUM('Restocking Table'!E9:P9)-SUM(L9:W9)</f>
        <v>590.6</v>
      </c>
      <c r="G9" s="1">
        <v>200</v>
      </c>
      <c r="H9" s="2">
        <f>E9+SUM('Restocking Table'!E9:P9)</f>
        <v>600</v>
      </c>
      <c r="I9" s="2">
        <f t="shared" si="0"/>
        <v>3.1333333333333329</v>
      </c>
      <c r="J9" s="1">
        <v>3.5</v>
      </c>
      <c r="K9" s="2">
        <f t="shared" si="1"/>
        <v>2100</v>
      </c>
      <c r="L9" s="1">
        <v>3.1</v>
      </c>
      <c r="M9" s="1">
        <v>2.5</v>
      </c>
      <c r="N9" s="1">
        <v>3.8</v>
      </c>
      <c r="O9" s="1"/>
      <c r="P9" s="1"/>
      <c r="Q9" s="1"/>
      <c r="R9" s="1"/>
      <c r="S9" s="1"/>
      <c r="T9" s="1"/>
      <c r="U9" s="1"/>
      <c r="V9" s="1"/>
      <c r="W9" s="1"/>
      <c r="X9" s="1" t="s">
        <v>34</v>
      </c>
      <c r="Y9" s="1" t="s">
        <v>18</v>
      </c>
      <c r="Z9" s="3" t="str">
        <f t="shared" si="2"/>
        <v>OK</v>
      </c>
    </row>
    <row r="10" spans="1:26" ht="18.600000000000001" customHeight="1" thickBot="1" x14ac:dyDescent="0.35">
      <c r="A10" s="5" t="s">
        <v>35</v>
      </c>
      <c r="B10" s="1" t="s">
        <v>36</v>
      </c>
      <c r="C10" s="1" t="s">
        <v>16</v>
      </c>
      <c r="D10" s="1" t="s">
        <v>12</v>
      </c>
      <c r="E10" s="1">
        <v>50</v>
      </c>
      <c r="F10" s="2">
        <f>$E10+SUM('Restocking Table'!E10:P10)-SUM(L10:W10)</f>
        <v>145.19999999999999</v>
      </c>
      <c r="G10" s="1">
        <v>10</v>
      </c>
      <c r="H10" s="2">
        <f>E10+SUM('Restocking Table'!E10:P10)</f>
        <v>150</v>
      </c>
      <c r="I10" s="2">
        <f t="shared" si="0"/>
        <v>1.5999999999999999</v>
      </c>
      <c r="J10" s="1">
        <v>4.5</v>
      </c>
      <c r="K10" s="2">
        <f t="shared" si="1"/>
        <v>675</v>
      </c>
      <c r="L10" s="1">
        <v>1.5</v>
      </c>
      <c r="M10" s="1">
        <v>2.1</v>
      </c>
      <c r="N10" s="1">
        <v>1.2</v>
      </c>
      <c r="O10" s="1"/>
      <c r="P10" s="1"/>
      <c r="Q10" s="1"/>
      <c r="R10" s="1"/>
      <c r="S10" s="1"/>
      <c r="T10" s="1"/>
      <c r="U10" s="1"/>
      <c r="V10" s="1"/>
      <c r="W10" s="1"/>
      <c r="X10" s="1" t="s">
        <v>34</v>
      </c>
      <c r="Y10" s="3">
        <v>46388</v>
      </c>
      <c r="Z10" s="3" t="str">
        <f t="shared" si="2"/>
        <v>OK</v>
      </c>
    </row>
    <row r="11" spans="1:26" ht="23.4" customHeight="1" thickBot="1" x14ac:dyDescent="0.35">
      <c r="A11" s="5" t="s">
        <v>37</v>
      </c>
      <c r="B11" s="1" t="s">
        <v>38</v>
      </c>
      <c r="C11" s="1" t="s">
        <v>39</v>
      </c>
      <c r="D11" s="1" t="s">
        <v>12</v>
      </c>
      <c r="E11" s="2">
        <v>500</v>
      </c>
      <c r="F11" s="2">
        <f>$E11+SUM('Restocking Table'!E11:P11)-SUM(L11:W11)</f>
        <v>-50</v>
      </c>
      <c r="G11" s="2">
        <v>5</v>
      </c>
      <c r="H11" s="2">
        <f>E11+SUM('Restocking Table'!E11:P11)</f>
        <v>600</v>
      </c>
      <c r="I11" s="2">
        <f t="shared" si="0"/>
        <v>216.66666666666666</v>
      </c>
      <c r="J11" s="1">
        <v>4</v>
      </c>
      <c r="K11" s="2">
        <f t="shared" si="1"/>
        <v>2400</v>
      </c>
      <c r="L11" s="2">
        <v>210</v>
      </c>
      <c r="M11" s="2">
        <v>260</v>
      </c>
      <c r="N11" s="2">
        <v>180</v>
      </c>
      <c r="O11" s="2"/>
      <c r="P11" s="2"/>
      <c r="Q11" s="2"/>
      <c r="R11" s="2"/>
      <c r="S11" s="2"/>
      <c r="T11" s="2"/>
      <c r="U11" s="2"/>
      <c r="V11" s="2"/>
      <c r="W11" s="2"/>
      <c r="X11" s="1" t="s">
        <v>17</v>
      </c>
      <c r="Y11" s="3">
        <v>46753</v>
      </c>
      <c r="Z11" s="3" t="str">
        <f t="shared" si="2"/>
        <v>REORDER</v>
      </c>
    </row>
    <row r="12" spans="1:26" ht="18" customHeight="1" x14ac:dyDescent="0.3">
      <c r="A12" s="6" t="s">
        <v>40</v>
      </c>
      <c r="B12" s="7" t="s">
        <v>41</v>
      </c>
      <c r="C12" s="7" t="s">
        <v>16</v>
      </c>
      <c r="D12" s="7" t="s">
        <v>12</v>
      </c>
      <c r="E12" s="7">
        <v>300</v>
      </c>
      <c r="F12" s="8">
        <f>$E12+SUM('Restocking Table'!E12:P12)-SUM(L12:W12)</f>
        <v>265</v>
      </c>
      <c r="G12" s="7">
        <v>100</v>
      </c>
      <c r="H12" s="8">
        <f>E12+SUM('Restocking Table'!E12:P12)</f>
        <v>400</v>
      </c>
      <c r="I12" s="8">
        <f t="shared" si="0"/>
        <v>45</v>
      </c>
      <c r="J12" s="7">
        <v>0.15</v>
      </c>
      <c r="K12" s="8">
        <f t="shared" si="1"/>
        <v>60</v>
      </c>
      <c r="L12" s="7">
        <v>45</v>
      </c>
      <c r="M12" s="7">
        <v>60</v>
      </c>
      <c r="N12" s="7">
        <v>30</v>
      </c>
      <c r="O12" s="7"/>
      <c r="P12" s="7"/>
      <c r="Q12" s="7"/>
      <c r="R12" s="7"/>
      <c r="S12" s="7"/>
      <c r="T12" s="7"/>
      <c r="U12" s="7"/>
      <c r="V12" s="7"/>
      <c r="W12" s="7"/>
      <c r="X12" s="7" t="s">
        <v>17</v>
      </c>
      <c r="Y12" s="9">
        <v>46754</v>
      </c>
      <c r="Z12" s="9" t="str">
        <f t="shared" si="2"/>
        <v>OK</v>
      </c>
    </row>
  </sheetData>
  <mergeCells count="2">
    <mergeCell ref="A1:Y1"/>
    <mergeCell ref="L2:W2"/>
  </mergeCells>
  <conditionalFormatting sqref="F4:F12">
    <cfRule type="expression" dxfId="29" priority="1">
      <formula>$F4&lt;=$G4</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6D658-39BE-4E7D-8439-31F2934AA6FE}">
  <sheetPr codeName="Sheet2"/>
  <dimension ref="A1:Q12"/>
  <sheetViews>
    <sheetView workbookViewId="0">
      <selection activeCell="J16" sqref="J16"/>
    </sheetView>
  </sheetViews>
  <sheetFormatPr defaultRowHeight="14.4" x14ac:dyDescent="0.3"/>
  <cols>
    <col min="1" max="1" width="12.109375" customWidth="1"/>
    <col min="2" max="2" width="8.5546875" customWidth="1"/>
    <col min="3" max="3" width="17.5546875" customWidth="1"/>
    <col min="4" max="4" width="12" customWidth="1"/>
    <col min="17" max="17" width="12" customWidth="1"/>
  </cols>
  <sheetData>
    <row r="1" spans="1:17" ht="15" x14ac:dyDescent="0.3">
      <c r="A1" s="23" t="s">
        <v>42</v>
      </c>
      <c r="B1" s="23"/>
      <c r="C1" s="23"/>
      <c r="D1" s="23"/>
      <c r="E1" s="23"/>
      <c r="F1" s="23"/>
      <c r="G1" s="23"/>
      <c r="H1" s="23"/>
      <c r="I1" s="23"/>
      <c r="J1" s="23"/>
      <c r="K1" s="23"/>
      <c r="L1" s="23"/>
      <c r="M1" s="23"/>
      <c r="N1" s="23"/>
      <c r="O1" s="23"/>
      <c r="P1" s="23"/>
      <c r="Q1" s="23"/>
    </row>
    <row r="2" spans="1:17" x14ac:dyDescent="0.3">
      <c r="A2" s="24" t="s">
        <v>0</v>
      </c>
      <c r="B2" s="24" t="s">
        <v>1</v>
      </c>
      <c r="C2" s="24" t="s">
        <v>2</v>
      </c>
      <c r="D2" s="24" t="s">
        <v>43</v>
      </c>
      <c r="E2" s="26" t="s">
        <v>57</v>
      </c>
      <c r="F2" s="26"/>
      <c r="G2" s="26"/>
      <c r="H2" s="26"/>
      <c r="I2" s="26"/>
      <c r="J2" s="26"/>
      <c r="K2" s="26"/>
      <c r="L2" s="26"/>
      <c r="M2" s="26"/>
      <c r="N2" s="26"/>
      <c r="O2" s="26"/>
      <c r="P2" s="26"/>
      <c r="Q2" s="24" t="s">
        <v>58</v>
      </c>
    </row>
    <row r="3" spans="1:17" ht="15" thickBot="1" x14ac:dyDescent="0.35">
      <c r="A3" s="25"/>
      <c r="B3" s="25"/>
      <c r="C3" s="25"/>
      <c r="D3" s="25"/>
      <c r="E3" s="4" t="s">
        <v>45</v>
      </c>
      <c r="F3" s="4" t="s">
        <v>46</v>
      </c>
      <c r="G3" s="4" t="s">
        <v>47</v>
      </c>
      <c r="H3" s="4" t="s">
        <v>48</v>
      </c>
      <c r="I3" s="4" t="s">
        <v>49</v>
      </c>
      <c r="J3" s="4" t="s">
        <v>50</v>
      </c>
      <c r="K3" s="4" t="s">
        <v>51</v>
      </c>
      <c r="L3" s="4" t="s">
        <v>52</v>
      </c>
      <c r="M3" s="4" t="s">
        <v>53</v>
      </c>
      <c r="N3" s="4" t="s">
        <v>54</v>
      </c>
      <c r="O3" s="4" t="s">
        <v>55</v>
      </c>
      <c r="P3" s="4" t="s">
        <v>56</v>
      </c>
      <c r="Q3" s="25"/>
    </row>
    <row r="4" spans="1:17" ht="35.4" customHeight="1" thickBot="1" x14ac:dyDescent="0.35">
      <c r="A4" s="5" t="s">
        <v>9</v>
      </c>
      <c r="B4" s="1" t="s">
        <v>10</v>
      </c>
      <c r="C4" s="1" t="s">
        <v>11</v>
      </c>
      <c r="D4" s="1" t="s">
        <v>12</v>
      </c>
      <c r="E4" s="2">
        <v>100</v>
      </c>
      <c r="F4" s="2"/>
      <c r="G4" s="2"/>
      <c r="H4" s="2"/>
      <c r="I4" s="2"/>
      <c r="J4" s="2"/>
      <c r="K4" s="2"/>
      <c r="L4" s="2"/>
      <c r="M4" s="2"/>
      <c r="N4" s="2"/>
      <c r="O4" s="2"/>
      <c r="P4" s="2"/>
      <c r="Q4" s="2"/>
    </row>
    <row r="5" spans="1:17" ht="19.2" customHeight="1" thickBot="1" x14ac:dyDescent="0.35">
      <c r="A5" s="5" t="s">
        <v>14</v>
      </c>
      <c r="B5" s="1" t="s">
        <v>15</v>
      </c>
      <c r="C5" s="1" t="s">
        <v>16</v>
      </c>
      <c r="D5" s="1" t="s">
        <v>12</v>
      </c>
      <c r="E5" s="2">
        <v>100</v>
      </c>
      <c r="F5" s="2"/>
      <c r="G5" s="2"/>
      <c r="H5" s="2"/>
      <c r="I5" s="2"/>
      <c r="J5" s="2"/>
      <c r="K5" s="2"/>
      <c r="L5" s="2"/>
      <c r="M5" s="2"/>
      <c r="N5" s="2"/>
      <c r="O5" s="2"/>
      <c r="P5" s="2"/>
      <c r="Q5" s="2"/>
    </row>
    <row r="6" spans="1:17" ht="15" thickBot="1" x14ac:dyDescent="0.35">
      <c r="A6" s="5" t="s">
        <v>19</v>
      </c>
      <c r="B6" s="1" t="s">
        <v>20</v>
      </c>
      <c r="C6" s="1" t="s">
        <v>21</v>
      </c>
      <c r="D6" s="1" t="s">
        <v>12</v>
      </c>
      <c r="E6" s="2">
        <v>100</v>
      </c>
      <c r="F6" s="2"/>
      <c r="G6" s="2"/>
      <c r="H6" s="2"/>
      <c r="I6" s="2"/>
      <c r="J6" s="2"/>
      <c r="K6" s="2"/>
      <c r="L6" s="2"/>
      <c r="M6" s="2"/>
      <c r="N6" s="2"/>
      <c r="O6" s="2"/>
      <c r="P6" s="2"/>
      <c r="Q6" s="2"/>
    </row>
    <row r="7" spans="1:17" ht="21" customHeight="1" thickBot="1" x14ac:dyDescent="0.35">
      <c r="A7" s="5" t="s">
        <v>23</v>
      </c>
      <c r="B7" s="1" t="s">
        <v>24</v>
      </c>
      <c r="C7" s="1" t="s">
        <v>25</v>
      </c>
      <c r="D7" s="1" t="s">
        <v>12</v>
      </c>
      <c r="E7" s="2">
        <v>100</v>
      </c>
      <c r="F7" s="2"/>
      <c r="G7" s="2"/>
      <c r="H7" s="2"/>
      <c r="I7" s="2"/>
      <c r="J7" s="2"/>
      <c r="K7" s="2"/>
      <c r="L7" s="2"/>
      <c r="M7" s="2"/>
      <c r="N7" s="2"/>
      <c r="O7" s="2"/>
      <c r="P7" s="2"/>
      <c r="Q7" s="2"/>
    </row>
    <row r="8" spans="1:17" ht="27.6" customHeight="1" thickBot="1" x14ac:dyDescent="0.35">
      <c r="A8" s="5" t="s">
        <v>26</v>
      </c>
      <c r="B8" s="1" t="s">
        <v>27</v>
      </c>
      <c r="C8" s="1" t="s">
        <v>28</v>
      </c>
      <c r="D8" s="1" t="s">
        <v>29</v>
      </c>
      <c r="E8" s="1">
        <v>100</v>
      </c>
      <c r="F8" s="1"/>
      <c r="G8" s="1"/>
      <c r="H8" s="1"/>
      <c r="I8" s="1"/>
      <c r="J8" s="1"/>
      <c r="K8" s="1"/>
      <c r="L8" s="1"/>
      <c r="M8" s="1"/>
      <c r="N8" s="1"/>
      <c r="O8" s="1"/>
      <c r="P8" s="1"/>
      <c r="Q8" s="1"/>
    </row>
    <row r="9" spans="1:17" ht="18" customHeight="1" thickBot="1" x14ac:dyDescent="0.35">
      <c r="A9" s="5" t="s">
        <v>31</v>
      </c>
      <c r="B9" s="1" t="s">
        <v>32</v>
      </c>
      <c r="C9" s="1" t="s">
        <v>33</v>
      </c>
      <c r="D9" s="1" t="s">
        <v>12</v>
      </c>
      <c r="E9" s="1">
        <v>100</v>
      </c>
      <c r="F9" s="1"/>
      <c r="G9" s="1"/>
      <c r="H9" s="1"/>
      <c r="I9" s="1"/>
      <c r="J9" s="1"/>
      <c r="K9" s="1"/>
      <c r="L9" s="1"/>
      <c r="M9" s="1"/>
      <c r="N9" s="1"/>
      <c r="O9" s="1"/>
      <c r="P9" s="1"/>
      <c r="Q9" s="1"/>
    </row>
    <row r="10" spans="1:17" ht="19.2" customHeight="1" thickBot="1" x14ac:dyDescent="0.35">
      <c r="A10" s="5" t="s">
        <v>35</v>
      </c>
      <c r="B10" s="1" t="s">
        <v>36</v>
      </c>
      <c r="C10" s="1" t="s">
        <v>16</v>
      </c>
      <c r="D10" s="1" t="s">
        <v>12</v>
      </c>
      <c r="E10" s="1">
        <v>100</v>
      </c>
      <c r="F10" s="1"/>
      <c r="G10" s="1"/>
      <c r="H10" s="1"/>
      <c r="I10" s="1"/>
      <c r="J10" s="1"/>
      <c r="K10" s="1"/>
      <c r="L10" s="1"/>
      <c r="M10" s="1"/>
      <c r="N10" s="1"/>
      <c r="O10" s="1"/>
      <c r="P10" s="1"/>
      <c r="Q10" s="1"/>
    </row>
    <row r="11" spans="1:17" ht="25.8" customHeight="1" thickBot="1" x14ac:dyDescent="0.35">
      <c r="A11" s="5" t="s">
        <v>37</v>
      </c>
      <c r="B11" s="1" t="s">
        <v>38</v>
      </c>
      <c r="C11" s="1" t="s">
        <v>39</v>
      </c>
      <c r="D11" s="1" t="s">
        <v>12</v>
      </c>
      <c r="E11" s="2">
        <v>100</v>
      </c>
      <c r="F11" s="2"/>
      <c r="G11" s="2"/>
      <c r="H11" s="2"/>
      <c r="I11" s="2"/>
      <c r="J11" s="2"/>
      <c r="K11" s="2"/>
      <c r="L11" s="2"/>
      <c r="M11" s="2"/>
      <c r="N11" s="2"/>
      <c r="O11" s="2"/>
      <c r="P11" s="2"/>
      <c r="Q11" s="2"/>
    </row>
    <row r="12" spans="1:17" ht="15" thickBot="1" x14ac:dyDescent="0.35">
      <c r="A12" s="5" t="s">
        <v>40</v>
      </c>
      <c r="B12" s="1" t="s">
        <v>41</v>
      </c>
      <c r="C12" s="1" t="s">
        <v>16</v>
      </c>
      <c r="D12" s="1" t="s">
        <v>12</v>
      </c>
      <c r="E12" s="1">
        <v>100</v>
      </c>
      <c r="F12" s="1"/>
      <c r="G12" s="1"/>
      <c r="H12" s="1"/>
      <c r="I12" s="1"/>
      <c r="J12" s="1"/>
      <c r="K12" s="1"/>
      <c r="L12" s="1"/>
      <c r="M12" s="1"/>
      <c r="N12" s="1"/>
      <c r="O12" s="1"/>
      <c r="P12" s="1"/>
      <c r="Q12" s="1"/>
    </row>
  </sheetData>
  <mergeCells count="7">
    <mergeCell ref="A1:Q1"/>
    <mergeCell ref="A2:A3"/>
    <mergeCell ref="B2:B3"/>
    <mergeCell ref="C2:C3"/>
    <mergeCell ref="D2:D3"/>
    <mergeCell ref="E2:P2"/>
    <mergeCell ref="Q2:Q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12C7A-D74E-487E-8F48-9DF80E01861C}">
  <sheetPr codeName="Sheet3"/>
  <dimension ref="A1:F11"/>
  <sheetViews>
    <sheetView tabSelected="1" workbookViewId="0">
      <selection activeCell="H11" sqref="H11"/>
    </sheetView>
  </sheetViews>
  <sheetFormatPr defaultRowHeight="14.4" x14ac:dyDescent="0.3"/>
  <cols>
    <col min="1" max="1" width="12" customWidth="1"/>
    <col min="2" max="2" width="12.6640625" customWidth="1"/>
    <col min="3" max="3" width="15.5546875" customWidth="1"/>
    <col min="4" max="4" width="12.77734375" customWidth="1"/>
    <col min="5" max="6" width="13" customWidth="1"/>
  </cols>
  <sheetData>
    <row r="1" spans="1:6" x14ac:dyDescent="0.3">
      <c r="A1" s="24" t="s">
        <v>0</v>
      </c>
      <c r="B1" s="24" t="s">
        <v>63</v>
      </c>
      <c r="C1" s="24" t="s">
        <v>62</v>
      </c>
      <c r="D1" s="24" t="s">
        <v>3</v>
      </c>
      <c r="E1" s="24" t="s">
        <v>4</v>
      </c>
      <c r="F1" s="24" t="s">
        <v>60</v>
      </c>
    </row>
    <row r="2" spans="1:6" ht="15" thickBot="1" x14ac:dyDescent="0.35">
      <c r="A2" s="25"/>
      <c r="B2" s="25"/>
      <c r="C2" s="25"/>
      <c r="D2" s="25"/>
      <c r="E2" s="25"/>
      <c r="F2" s="25"/>
    </row>
    <row r="3" spans="1:6" ht="21" thickBot="1" x14ac:dyDescent="0.35">
      <c r="A3" s="5" t="s">
        <v>9</v>
      </c>
      <c r="B3" s="1"/>
      <c r="C3" s="1"/>
      <c r="D3" s="1">
        <f>INDEX('Inventory Table'!F:F,
MATCH(A3,'Inventory Table'!A:A,0))</f>
        <v>236</v>
      </c>
      <c r="E3" s="1">
        <f>INDEX('Inventory Table'!G:G,
MATCH(A3,'Inventory Table'!A:A,0))</f>
        <v>100</v>
      </c>
      <c r="F3" s="1" t="str">
        <f>IF(D3&lt;=E3,"REORDER","OK")</f>
        <v>OK</v>
      </c>
    </row>
    <row r="4" spans="1:6" ht="15" thickBot="1" x14ac:dyDescent="0.35">
      <c r="A4" s="5" t="s">
        <v>14</v>
      </c>
      <c r="B4" s="1"/>
      <c r="C4" s="1"/>
      <c r="D4" s="1">
        <f>INDEX('Inventory Table'!F:F,
MATCH(A4,'Inventory Table'!A:A,0))</f>
        <v>50</v>
      </c>
      <c r="E4" s="1">
        <f>INDEX('Inventory Table'!G:G,
MATCH(A4,'Inventory Table'!A:A,0))</f>
        <v>300</v>
      </c>
      <c r="F4" s="1" t="str">
        <f t="shared" ref="F4:F11" si="0">IF(D4&lt;=E4,"REORDER","OK")</f>
        <v>REORDER</v>
      </c>
    </row>
    <row r="5" spans="1:6" ht="15" thickBot="1" x14ac:dyDescent="0.35">
      <c r="A5" s="5" t="s">
        <v>19</v>
      </c>
      <c r="B5" s="1"/>
      <c r="C5" s="1"/>
      <c r="D5" s="1">
        <f>INDEX('Inventory Table'!F:F,
MATCH(A5,'Inventory Table'!A:A,0))</f>
        <v>141.9</v>
      </c>
      <c r="E5" s="1">
        <f>INDEX('Inventory Table'!G:G,
MATCH(A5,'Inventory Table'!A:A,0))</f>
        <v>10</v>
      </c>
      <c r="F5" s="1" t="str">
        <f t="shared" si="0"/>
        <v>OK</v>
      </c>
    </row>
    <row r="6" spans="1:6" ht="15" thickBot="1" x14ac:dyDescent="0.35">
      <c r="A6" s="5" t="s">
        <v>23</v>
      </c>
      <c r="B6" s="1"/>
      <c r="C6" s="1"/>
      <c r="D6" s="1">
        <f>INDEX('Inventory Table'!F:F,
MATCH(A6,'Inventory Table'!A:A,0))</f>
        <v>127</v>
      </c>
      <c r="E6" s="1">
        <f>INDEX('Inventory Table'!G:G,
MATCH(A6,'Inventory Table'!A:A,0))</f>
        <v>50</v>
      </c>
      <c r="F6" s="1" t="str">
        <f t="shared" si="0"/>
        <v>OK</v>
      </c>
    </row>
    <row r="7" spans="1:6" ht="21" thickBot="1" x14ac:dyDescent="0.35">
      <c r="A7" s="5" t="s">
        <v>26</v>
      </c>
      <c r="B7" s="1"/>
      <c r="C7" s="1"/>
      <c r="D7" s="1">
        <f>INDEX('Inventory Table'!F:F,
MATCH(A7,'Inventory Table'!A:A,0))</f>
        <v>170</v>
      </c>
      <c r="E7" s="1">
        <f>INDEX('Inventory Table'!G:G,
MATCH(A7,'Inventory Table'!A:A,0))</f>
        <v>30</v>
      </c>
      <c r="F7" s="1" t="str">
        <f t="shared" si="0"/>
        <v>OK</v>
      </c>
    </row>
    <row r="8" spans="1:6" ht="15" thickBot="1" x14ac:dyDescent="0.35">
      <c r="A8" s="5" t="s">
        <v>31</v>
      </c>
      <c r="B8" s="1"/>
      <c r="C8" s="1"/>
      <c r="D8" s="1">
        <f>INDEX('Inventory Table'!F:F,
MATCH(A8,'Inventory Table'!A:A,0))</f>
        <v>590.6</v>
      </c>
      <c r="E8" s="1">
        <f>INDEX('Inventory Table'!G:G,
MATCH(A8,'Inventory Table'!A:A,0))</f>
        <v>200</v>
      </c>
      <c r="F8" s="1" t="str">
        <f t="shared" si="0"/>
        <v>OK</v>
      </c>
    </row>
    <row r="9" spans="1:6" ht="15" thickBot="1" x14ac:dyDescent="0.35">
      <c r="A9" s="5" t="s">
        <v>35</v>
      </c>
      <c r="B9" s="1"/>
      <c r="C9" s="1"/>
      <c r="D9" s="1">
        <f>INDEX('Inventory Table'!F:F,
MATCH(A9,'Inventory Table'!A:A,0))</f>
        <v>145.19999999999999</v>
      </c>
      <c r="E9" s="1">
        <f>INDEX('Inventory Table'!G:G,
MATCH(A9,'Inventory Table'!A:A,0))</f>
        <v>10</v>
      </c>
      <c r="F9" s="1" t="str">
        <f t="shared" si="0"/>
        <v>OK</v>
      </c>
    </row>
    <row r="10" spans="1:6" ht="21" thickBot="1" x14ac:dyDescent="0.35">
      <c r="A10" s="5" t="s">
        <v>37</v>
      </c>
      <c r="B10" s="1"/>
      <c r="C10" s="1"/>
      <c r="D10" s="1">
        <f>INDEX('Inventory Table'!F:F,
MATCH(A10,'Inventory Table'!A:A,0))</f>
        <v>-50</v>
      </c>
      <c r="E10" s="1">
        <f>INDEX('Inventory Table'!G:G,
MATCH(A10,'Inventory Table'!A:A,0))</f>
        <v>5</v>
      </c>
      <c r="F10" s="1" t="str">
        <f t="shared" si="0"/>
        <v>REORDER</v>
      </c>
    </row>
    <row r="11" spans="1:6" ht="15" thickBot="1" x14ac:dyDescent="0.35">
      <c r="A11" s="5" t="s">
        <v>40</v>
      </c>
      <c r="B11" s="1"/>
      <c r="C11" s="1"/>
      <c r="D11" s="1">
        <f>INDEX('Inventory Table'!F:F,
MATCH(A11,'Inventory Table'!A:A,0))</f>
        <v>265</v>
      </c>
      <c r="E11" s="1">
        <f>INDEX('Inventory Table'!G:G,
MATCH(A11,'Inventory Table'!A:A,0))</f>
        <v>100</v>
      </c>
      <c r="F11" s="1" t="str">
        <f t="shared" si="0"/>
        <v>OK</v>
      </c>
    </row>
  </sheetData>
  <mergeCells count="6">
    <mergeCell ref="F1:F2"/>
    <mergeCell ref="A1:A2"/>
    <mergeCell ref="B1:B2"/>
    <mergeCell ref="C1:C2"/>
    <mergeCell ref="D1:D2"/>
    <mergeCell ref="E1:E2"/>
  </mergeCells>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PostRestocks">
                <anchor moveWithCells="1" sizeWithCells="1">
                  <from>
                    <xdr:col>7</xdr:col>
                    <xdr:colOff>30480</xdr:colOff>
                    <xdr:row>2</xdr:row>
                    <xdr:rowOff>38100</xdr:rowOff>
                  </from>
                  <to>
                    <xdr:col>9</xdr:col>
                    <xdr:colOff>30480</xdr:colOff>
                    <xdr:row>2</xdr:row>
                    <xdr:rowOff>365760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Inventory Table</vt:lpstr>
      <vt:lpstr>Restocking Table</vt:lpstr>
      <vt:lpstr>Restock Entry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Gerald Gumahad</dc:creator>
  <cp:lastModifiedBy>Gerald Gumahad</cp:lastModifiedBy>
  <dcterms:created xsi:type="dcterms:W3CDTF">2026-04-22T11:57:48Z</dcterms:created>
  <dcterms:modified xsi:type="dcterms:W3CDTF">2026-04-23T03:27:16Z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2026-04-22T12:45:43Z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4d1b83f4-00b8-4399-9aeb-8a4c0755e9f2</vt:lpwstr>
  </property>
  <property fmtid="{D5CDD505-2E9C-101B-9397-08002B2CF9AE}" pid="7" name="MSIP_Label_defa4170-0d19-0005-0004-bc88714345d2_ActionId">
    <vt:lpwstr>e6f0ccd4-7c5a-4c28-bd05-daa25e85a776</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